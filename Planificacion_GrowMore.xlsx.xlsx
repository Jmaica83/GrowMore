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45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AGNAR" sheetId="2" state="visible" r:id="rId2"/>
    <sheet xmlns:r="http://schemas.openxmlformats.org/officeDocument/2006/relationships" name="PROYECCIÓN" sheetId="3" state="visible" r:id="rId3"/>
    <sheet xmlns:r="http://schemas.openxmlformats.org/officeDocument/2006/relationships" name="SALA 1" sheetId="4" state="visible" r:id="rId4"/>
    <sheet xmlns:r="http://schemas.openxmlformats.org/officeDocument/2006/relationships" name="SALA 2" sheetId="5" state="visible" r:id="rId5"/>
    <sheet xmlns:r="http://schemas.openxmlformats.org/officeDocument/2006/relationships" name="SALA 3" sheetId="6" state="visible" r:id="rId6"/>
    <sheet xmlns:r="http://schemas.openxmlformats.org/officeDocument/2006/relationships" name="SALA 4" sheetId="7" state="visible" r:id="rId7"/>
    <sheet xmlns:r="http://schemas.openxmlformats.org/officeDocument/2006/relationships" name="SALA 5" sheetId="8" state="visible" r:id="rId8"/>
    <sheet xmlns:r="http://schemas.openxmlformats.org/officeDocument/2006/relationships" name="SALA 6" sheetId="9" state="visible" r:id="rId9"/>
    <sheet xmlns:r="http://schemas.openxmlformats.org/officeDocument/2006/relationships" name="CARPA 1" sheetId="10" state="visible" r:id="rId10"/>
    <sheet xmlns:r="http://schemas.openxmlformats.org/officeDocument/2006/relationships" name="CARPA 2" sheetId="11" state="visible" r:id="rId11"/>
    <sheet xmlns:r="http://schemas.openxmlformats.org/officeDocument/2006/relationships" name="CARPA 3" sheetId="12" state="visible" r:id="rId12"/>
    <sheet xmlns:r="http://schemas.openxmlformats.org/officeDocument/2006/relationships" name="CARPA 4" sheetId="13" state="visible" r:id="rId13"/>
    <sheet xmlns:r="http://schemas.openxmlformats.org/officeDocument/2006/relationships" name="PESOS" sheetId="14" state="visible" r:id="rId14"/>
    <sheet xmlns:r="http://schemas.openxmlformats.org/officeDocument/2006/relationships" name="LEYENDA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3D3D3D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D6A4F"/>
      <sz val="9"/>
    </font>
    <font>
      <name val="Arial"/>
      <charset val="1"/>
      <family val="0"/>
      <color rgb="FF3D3D3D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i val="1"/>
      <color rgb="FF3D3D3D"/>
      <sz val="8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0070C0"/>
      <sz val="9"/>
    </font>
    <font>
      <name val="Arial"/>
      <charset val="1"/>
      <family val="0"/>
      <b val="1"/>
      <color rgb="FF3D3D3D"/>
      <sz val="9"/>
    </font>
    <font>
      <name val="Arial"/>
      <charset val="1"/>
      <family val="0"/>
      <sz val="10"/>
    </font>
    <font>
      <name val="Arial"/>
      <charset val="1"/>
      <family val="0"/>
      <color rgb="FF3D3D3D"/>
      <sz val="10"/>
    </font>
    <font>
      <name val="Arial"/>
      <charset val="1"/>
      <family val="0"/>
      <color rgb="FF2D6A4F"/>
      <sz val="8"/>
    </font>
  </fonts>
  <fills count="13">
    <fill>
      <patternFill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7"/>
        <bgColor rgb="FFB9CDE5"/>
      </patternFill>
    </fill>
    <fill>
      <patternFill patternType="solid">
        <fgColor theme="3" tint="0.5997"/>
        <bgColor rgb="FF9999FF"/>
      </patternFill>
    </fill>
    <fill>
      <patternFill patternType="solid">
        <fgColor theme="4" tint="0.5997"/>
        <bgColor rgb="FFB7B7B7"/>
      </patternFill>
    </fill>
    <fill>
      <patternFill patternType="solid">
        <fgColor rgb="FFD6E8FF"/>
        <bgColor rgb="FFD8F3DC"/>
      </patternFill>
    </fill>
  </fills>
  <borders count="11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general" vertical="bottom"/>
    </xf>
    <xf numFmtId="164" fontId="0" fillId="6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left" vertical="bottom"/>
    </xf>
    <xf numFmtId="164" fontId="5" fillId="6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10" fillId="4" borderId="3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15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164" fontId="5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16" fillId="3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top" wrapText="1"/>
    </xf>
    <xf numFmtId="164" fontId="5" fillId="11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right" vertical="center"/>
    </xf>
    <xf numFmtId="0" fontId="1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7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general" vertical="bottom"/>
    </xf>
    <xf numFmtId="164" fontId="0" fillId="6" borderId="1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left" vertical="bottom"/>
    </xf>
    <xf numFmtId="164" fontId="5" fillId="6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10" fillId="4" borderId="3" applyAlignment="1" pivotButton="0" quotePrefix="0" xfId="0">
      <alignment horizontal="left" vertical="center"/>
    </xf>
    <xf numFmtId="0" fontId="0" fillId="0" borderId="5" pivotButton="0" quotePrefix="0" xfId="0"/>
    <xf numFmtId="0" fontId="5" fillId="9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15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164" fontId="5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16" fillId="3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164" fontId="5" fillId="11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right" vertical="center"/>
    </xf>
    <xf numFmtId="0" fontId="1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7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general" vertical="bottom"/>
    </xf>
    <xf numFmtId="0" fontId="17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D6A4F"/>
    <outlinePr summaryBelow="1" summaryRight="1"/>
    <pageSetUpPr fitToPage="0"/>
  </sheetPr>
  <dimension ref="A1:L36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D5" activeCellId="0" sqref="D5"/>
    </sheetView>
  </sheetViews>
  <sheetFormatPr baseColWidth="8" defaultColWidth="8.66796875" defaultRowHeight="14.25" zeroHeight="0" outlineLevelRow="0"/>
  <cols>
    <col width="14" customWidth="1" style="67" min="1" max="1"/>
    <col width="22" customWidth="1" style="67" min="2" max="2"/>
    <col width="12" customWidth="1" style="67" min="3" max="3"/>
    <col width="18" customWidth="1" style="67" min="4" max="4"/>
    <col width="13" customWidth="1" style="67" min="5" max="6"/>
    <col width="22" customWidth="1" style="67" min="7" max="7"/>
    <col width="10" customWidth="1" style="67" min="8" max="10"/>
    <col width="22" customWidth="1" style="67" min="11" max="11"/>
  </cols>
  <sheetData>
    <row r="1" ht="36" customHeight="1" s="68">
      <c r="A1" s="69" t="inlineStr">
        <is>
          <t>🌿  GrowMore — Panel de Control</t>
        </is>
      </c>
    </row>
    <row r="2" ht="14.25" customHeight="1" s="68">
      <c r="A2" s="70" t="inlineStr">
        <is>
          <t>Actualizado manualmente. Fecha hoy: =TEXT(TODAY(),"DD/MM/YYYY")</t>
        </is>
      </c>
    </row>
    <row r="4" ht="21.75" customHeight="1" s="68">
      <c r="A4" s="71" t="inlineStr">
        <is>
          <t>ESTADO ACTUAL — SALAS DE CULTIVO</t>
        </is>
      </c>
    </row>
    <row r="5" ht="27.75" customHeight="1" s="68">
      <c r="A5" s="72" t="inlineStr">
        <is>
          <t>Sala/Carpa</t>
        </is>
      </c>
      <c r="B5" s="72" t="inlineStr">
        <is>
          <t>Variedad(es)</t>
        </is>
      </c>
      <c r="C5" s="72" t="inlineStr">
        <is>
          <t>Total Plantas</t>
        </is>
      </c>
      <c r="D5" s="72" t="inlineStr">
        <is>
          <t>Etapa Actual</t>
        </is>
      </c>
      <c r="E5" s="72" t="inlineStr">
        <is>
          <t>Días en Etapa</t>
        </is>
      </c>
      <c r="G5" s="72" t="inlineStr">
        <is>
          <t>Fecha Corte Est.</t>
        </is>
      </c>
      <c r="H5" s="72" t="inlineStr">
        <is>
          <t>pH</t>
        </is>
      </c>
      <c r="I5" s="72" t="inlineStr">
        <is>
          <t>EC</t>
        </is>
      </c>
      <c r="J5" s="72" t="inlineStr">
        <is>
          <t>Temp (°C)</t>
        </is>
      </c>
      <c r="K5" s="72" t="inlineStr">
        <is>
          <t>Hum (%)</t>
        </is>
      </c>
      <c r="L5" s="72" t="inlineStr">
        <is>
          <t>Notas Rápidas</t>
        </is>
      </c>
    </row>
    <row r="6" ht="19.5" customHeight="1" s="68">
      <c r="A6" s="73" t="inlineStr">
        <is>
          <t>Sala 1</t>
        </is>
      </c>
      <c r="B6" s="74" t="n"/>
      <c r="C6" s="74" t="n"/>
      <c r="D6" s="75" t="n"/>
      <c r="E6" s="75" t="n"/>
      <c r="G6" s="75" t="n"/>
      <c r="H6" s="75" t="n"/>
      <c r="I6" s="75" t="n"/>
      <c r="J6" s="75" t="n"/>
      <c r="K6" s="75" t="n"/>
      <c r="L6" s="75" t="n"/>
    </row>
    <row r="7" ht="19.5" customHeight="1" s="68">
      <c r="A7" s="76" t="inlineStr">
        <is>
          <t>Sala 2</t>
        </is>
      </c>
      <c r="B7" s="77" t="n"/>
      <c r="C7" s="77" t="n"/>
      <c r="D7" s="75" t="n"/>
      <c r="E7" s="75" t="n"/>
      <c r="G7" s="75" t="n"/>
      <c r="H7" s="75" t="n"/>
      <c r="I7" s="75" t="n"/>
      <c r="J7" s="75" t="n"/>
      <c r="K7" s="75" t="n"/>
      <c r="L7" s="75" t="n"/>
    </row>
    <row r="8" ht="19.5" customHeight="1" s="68">
      <c r="A8" s="73" t="inlineStr">
        <is>
          <t>Sala 3</t>
        </is>
      </c>
      <c r="B8" s="74" t="n"/>
      <c r="C8" s="74" t="n"/>
      <c r="D8" s="75" t="n"/>
      <c r="E8" s="75" t="n"/>
      <c r="G8" s="75" t="n"/>
      <c r="H8" s="75" t="n"/>
      <c r="I8" s="75" t="n"/>
      <c r="J8" s="75" t="n"/>
      <c r="K8" s="75" t="n"/>
      <c r="L8" s="75" t="n"/>
    </row>
    <row r="9" ht="19.5" customHeight="1" s="68">
      <c r="A9" s="76" t="inlineStr">
        <is>
          <t>Sala 4</t>
        </is>
      </c>
      <c r="B9" s="77" t="n"/>
      <c r="C9" s="77" t="n"/>
      <c r="D9" s="75" t="n"/>
      <c r="E9" s="75" t="n"/>
      <c r="G9" s="75" t="n"/>
      <c r="H9" s="75" t="n"/>
      <c r="I9" s="75" t="n"/>
      <c r="J9" s="75" t="n"/>
      <c r="K9" s="75" t="n"/>
      <c r="L9" s="75" t="n"/>
    </row>
    <row r="10" ht="19.5" customHeight="1" s="68">
      <c r="A10" s="73" t="inlineStr">
        <is>
          <t>Sala 5</t>
        </is>
      </c>
      <c r="B10" s="74" t="n"/>
      <c r="C10" s="74" t="n"/>
      <c r="D10" s="75" t="n"/>
      <c r="E10" s="75" t="n"/>
      <c r="G10" s="75" t="n"/>
      <c r="H10" s="75" t="n"/>
      <c r="I10" s="75" t="n"/>
      <c r="J10" s="75" t="n"/>
      <c r="K10" s="75" t="n"/>
      <c r="L10" s="75" t="n"/>
    </row>
    <row r="11" ht="19.5" customHeight="1" s="68">
      <c r="A11" s="76" t="inlineStr">
        <is>
          <t>Sala 6</t>
        </is>
      </c>
      <c r="B11" s="77" t="n"/>
      <c r="C11" s="77" t="n"/>
      <c r="D11" s="75" t="n"/>
      <c r="E11" s="75" t="n"/>
      <c r="G11" s="75" t="n"/>
      <c r="H11" s="75" t="n"/>
      <c r="I11" s="75" t="n"/>
      <c r="J11" s="75" t="n"/>
      <c r="K11" s="75" t="n"/>
      <c r="L11" s="75" t="n"/>
    </row>
    <row r="12" ht="19.5" customHeight="1" s="68">
      <c r="A12" s="73" t="inlineStr">
        <is>
          <t>Carpa 1</t>
        </is>
      </c>
      <c r="B12" s="74" t="n"/>
      <c r="C12" s="74" t="n"/>
      <c r="D12" s="75" t="n"/>
      <c r="E12" s="75" t="n"/>
      <c r="G12" s="75" t="n"/>
      <c r="H12" s="75" t="n"/>
      <c r="I12" s="75" t="n"/>
      <c r="J12" s="75" t="n"/>
      <c r="K12" s="75" t="n"/>
      <c r="L12" s="75" t="n"/>
    </row>
    <row r="13" ht="19.5" customHeight="1" s="68">
      <c r="A13" s="76" t="inlineStr">
        <is>
          <t>Carpa 2</t>
        </is>
      </c>
      <c r="B13" s="77" t="n"/>
      <c r="C13" s="77" t="n"/>
      <c r="D13" s="75" t="n"/>
      <c r="E13" s="75" t="n"/>
      <c r="G13" s="75" t="n"/>
      <c r="H13" s="75" t="n"/>
      <c r="I13" s="75" t="n"/>
      <c r="J13" s="75" t="n"/>
      <c r="K13" s="75" t="n"/>
      <c r="L13" s="75" t="n"/>
    </row>
    <row r="14" ht="19.5" customHeight="1" s="68">
      <c r="A14" s="73" t="inlineStr">
        <is>
          <t>Carpa 3</t>
        </is>
      </c>
      <c r="B14" s="74" t="n"/>
      <c r="C14" s="74" t="n"/>
      <c r="D14" s="75" t="n"/>
      <c r="E14" s="75" t="n"/>
      <c r="G14" s="75" t="n"/>
      <c r="H14" s="75" t="n"/>
      <c r="I14" s="75" t="n"/>
      <c r="J14" s="75" t="n"/>
      <c r="K14" s="75" t="n"/>
      <c r="L14" s="75" t="n"/>
    </row>
    <row r="15" ht="19.5" customHeight="1" s="68">
      <c r="A15" s="76" t="inlineStr">
        <is>
          <t>Carpa 4</t>
        </is>
      </c>
      <c r="B15" s="77" t="n"/>
      <c r="C15" s="77" t="n"/>
      <c r="D15" s="75" t="n"/>
      <c r="E15" s="75" t="n"/>
      <c r="G15" s="75" t="n"/>
      <c r="H15" s="75" t="n"/>
      <c r="I15" s="75" t="n"/>
      <c r="J15" s="75" t="n"/>
      <c r="K15" s="75" t="n"/>
      <c r="L15" s="75" t="n"/>
    </row>
    <row r="17" ht="14.25" customHeight="1" s="68">
      <c r="A17" s="78" t="inlineStr">
        <is>
          <t>💛 Celdas amarillas = ingreso manual    |    Etapa Actual: escribe la etapa del ciclo en curso    |    Fecha Corte Est.: copiar de la hoja de sala</t>
        </is>
      </c>
    </row>
    <row r="19" ht="15" customHeight="1" s="68">
      <c r="A19" s="79" t="inlineStr">
        <is>
          <t>HISTORIAL pH / EC / TEMP / HUM — Sala 1</t>
        </is>
      </c>
    </row>
    <row r="20" ht="24" customHeight="1" s="68">
      <c r="A20" s="80" t="inlineStr">
        <is>
          <t>Fecha</t>
        </is>
      </c>
      <c r="B20" s="80" t="inlineStr">
        <is>
          <t>pH</t>
        </is>
      </c>
      <c r="C20" s="80" t="inlineStr">
        <is>
          <t>EC (ppm)</t>
        </is>
      </c>
      <c r="D20" s="80" t="inlineStr">
        <is>
          <t>Temp (°C)</t>
        </is>
      </c>
      <c r="E20" s="80" t="inlineStr">
        <is>
          <t>Hum (%)</t>
        </is>
      </c>
      <c r="F20" s="72" t="inlineStr">
        <is>
          <t>PPFD
(µmol/m²/s)</t>
        </is>
      </c>
      <c r="G20" s="80" t="inlineStr">
        <is>
          <t>Notas</t>
        </is>
      </c>
    </row>
    <row r="21" ht="14.25" customHeight="1" s="68">
      <c r="A21" s="81" t="n"/>
      <c r="B21" s="82" t="n"/>
      <c r="C21" s="82" t="n"/>
      <c r="D21" s="82" t="n"/>
      <c r="E21" s="82" t="n"/>
      <c r="F21" s="75" t="n"/>
      <c r="G21" s="82" t="n"/>
    </row>
    <row r="22" ht="14.25" customHeight="1" s="68">
      <c r="A22" s="81" t="n"/>
      <c r="B22" s="82" t="n"/>
      <c r="C22" s="82" t="n"/>
      <c r="D22" s="82" t="n"/>
      <c r="E22" s="82" t="n"/>
      <c r="F22" s="75" t="n"/>
      <c r="G22" s="82" t="n"/>
    </row>
    <row r="23" ht="14.25" customHeight="1" s="68">
      <c r="A23" s="81" t="n"/>
      <c r="B23" s="82" t="n"/>
      <c r="C23" s="82" t="n"/>
      <c r="D23" s="82" t="n"/>
      <c r="E23" s="82" t="n"/>
      <c r="F23" s="75" t="n"/>
      <c r="G23" s="82" t="n"/>
    </row>
    <row r="24" ht="14.25" customHeight="1" s="68">
      <c r="A24" s="81" t="n"/>
      <c r="B24" s="82" t="n"/>
      <c r="C24" s="82" t="n"/>
      <c r="D24" s="82" t="n"/>
      <c r="E24" s="82" t="n"/>
      <c r="F24" s="75" t="n"/>
      <c r="G24" s="82" t="n"/>
    </row>
    <row r="25" ht="14.25" customHeight="1" s="68">
      <c r="A25" s="81" t="n"/>
      <c r="B25" s="82" t="n"/>
      <c r="C25" s="82" t="n"/>
      <c r="D25" s="82" t="n"/>
      <c r="E25" s="82" t="n"/>
      <c r="F25" s="75" t="n"/>
      <c r="G25" s="82" t="n"/>
    </row>
    <row r="26" ht="14.25" customHeight="1" s="68">
      <c r="A26" s="81" t="n"/>
      <c r="B26" s="82" t="n"/>
      <c r="C26" s="82" t="n"/>
      <c r="D26" s="82" t="n"/>
      <c r="E26" s="82" t="n"/>
      <c r="F26" s="75" t="n"/>
      <c r="G26" s="82" t="n"/>
    </row>
    <row r="27" ht="14.25" customHeight="1" s="68">
      <c r="A27" s="81" t="n"/>
      <c r="B27" s="82" t="n"/>
      <c r="C27" s="82" t="n"/>
      <c r="D27" s="82" t="n"/>
      <c r="E27" s="82" t="n"/>
      <c r="F27" s="75" t="n"/>
      <c r="G27" s="82" t="n"/>
    </row>
    <row r="28" ht="14.25" customHeight="1" s="68">
      <c r="A28" s="81" t="n"/>
      <c r="B28" s="82" t="n"/>
      <c r="C28" s="82" t="n"/>
      <c r="D28" s="82" t="n"/>
      <c r="E28" s="82" t="n"/>
      <c r="F28" s="75" t="n"/>
      <c r="G28" s="82" t="n"/>
    </row>
    <row r="29" ht="14.25" customHeight="1" s="68">
      <c r="A29" s="81" t="n"/>
      <c r="B29" s="82" t="n"/>
      <c r="C29" s="82" t="n"/>
      <c r="D29" s="82" t="n"/>
      <c r="E29" s="82" t="n"/>
      <c r="F29" s="75" t="n"/>
      <c r="G29" s="82" t="n"/>
    </row>
    <row r="30" ht="14.25" customHeight="1" s="68">
      <c r="A30" s="81" t="n"/>
      <c r="B30" s="82" t="n"/>
      <c r="C30" s="82" t="n"/>
      <c r="D30" s="82" t="n"/>
      <c r="E30" s="82" t="n"/>
      <c r="F30" s="75" t="n"/>
      <c r="G30" s="82" t="n"/>
    </row>
    <row r="31" ht="14.25" customHeight="1" s="68">
      <c r="A31" s="81" t="n"/>
      <c r="B31" s="82" t="n"/>
      <c r="C31" s="82" t="n"/>
      <c r="D31" s="82" t="n"/>
      <c r="E31" s="82" t="n"/>
      <c r="F31" s="75" t="n"/>
      <c r="G31" s="82" t="n"/>
    </row>
    <row r="32" ht="14.25" customHeight="1" s="68">
      <c r="A32" s="81" t="n"/>
      <c r="B32" s="82" t="n"/>
      <c r="C32" s="82" t="n"/>
      <c r="D32" s="82" t="n"/>
      <c r="E32" s="82" t="n"/>
      <c r="F32" s="75" t="n"/>
      <c r="G32" s="82" t="n"/>
    </row>
    <row r="33" ht="14.25" customHeight="1" s="68">
      <c r="A33" s="81" t="n"/>
      <c r="B33" s="82" t="n"/>
      <c r="C33" s="82" t="n"/>
      <c r="D33" s="82" t="n"/>
      <c r="E33" s="82" t="n"/>
      <c r="F33" s="75" t="n"/>
      <c r="G33" s="82" t="n"/>
    </row>
    <row r="34" ht="14.25" customHeight="1" s="68">
      <c r="A34" s="81" t="n"/>
      <c r="B34" s="82" t="n"/>
      <c r="C34" s="82" t="n"/>
      <c r="D34" s="82" t="n"/>
      <c r="E34" s="82" t="n"/>
      <c r="F34" s="75" t="n"/>
      <c r="G34" s="82" t="n"/>
    </row>
    <row r="35" ht="14.25" customHeight="1" s="68">
      <c r="A35" s="81" t="n"/>
      <c r="B35" s="82" t="n"/>
      <c r="C35" s="82" t="n"/>
      <c r="D35" s="82" t="n"/>
      <c r="E35" s="82" t="n"/>
      <c r="F35" s="75" t="n"/>
      <c r="G35" s="82" t="n"/>
    </row>
    <row r="36" ht="14.25" customHeight="1" s="68">
      <c r="A36" s="83" t="n"/>
    </row>
  </sheetData>
  <mergeCells count="6">
    <mergeCell ref="A4:K4"/>
    <mergeCell ref="A19:F19"/>
    <mergeCell ref="A36:F36"/>
    <mergeCell ref="A2:K2"/>
    <mergeCell ref="A1:K1"/>
    <mergeCell ref="A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52B788"/>
    <outlinePr summaryBelow="1" summaryRight="1"/>
    <pageSetUpPr fitToPage="0"/>
  </sheetPr>
  <dimension ref="A1:J25"/>
  <sheetViews>
    <sheetView showFormulas="0" showGridLines="0" showRowColHeaders="1" showZeros="1" rightToLeft="0" tabSelected="1" showOutlineSymbols="1" defaultGridColor="1" view="normal" topLeftCell="A1" colorId="64" zoomScale="126" zoomScaleNormal="126" zoomScalePageLayoutView="100" workbookViewId="0">
      <selection pane="topLeft" activeCell="I7" activeCellId="0" sqref="I7"/>
    </sheetView>
  </sheetViews>
  <sheetFormatPr baseColWidth="8" defaultColWidth="8.66796875" defaultRowHeight="14.25" zeroHeight="0" outlineLevelRow="0"/>
  <cols>
    <col width="20" customWidth="1" style="67" min="1" max="1"/>
    <col width="14" customWidth="1" style="67" min="2" max="2"/>
    <col width="10" customWidth="1" style="67" min="3" max="3"/>
    <col width="14" customWidth="1" style="67" min="4" max="4"/>
    <col width="2" customWidth="1" style="67" min="5" max="5"/>
    <col width="20" customWidth="1" style="67" min="6" max="6"/>
    <col width="14" customWidth="1" style="67" min="7" max="7"/>
    <col width="10" customWidth="1" style="67" min="8" max="8"/>
    <col width="13" customWidth="1" style="67" min="9" max="9"/>
    <col width="20" customWidth="1" style="67" min="10" max="10"/>
  </cols>
  <sheetData>
    <row r="1" ht="30" customHeight="1" s="68">
      <c r="A1" s="84" t="inlineStr">
        <is>
          <t>🌱  RAGNAR — Sala de Vegetación</t>
        </is>
      </c>
    </row>
    <row r="3" ht="19.5" customHeight="1" s="68">
      <c r="A3" s="85" t="inlineStr">
        <is>
          <t>ESQUEJES</t>
        </is>
      </c>
      <c r="F3" s="85" t="inlineStr">
        <is>
          <t>MACETAS EN VEGETACIÓN</t>
        </is>
      </c>
    </row>
    <row r="4" ht="14.25" customHeight="1" s="68">
      <c r="A4" s="86" t="inlineStr">
        <is>
          <t>Variedad</t>
        </is>
      </c>
      <c r="B4" s="86" t="n"/>
      <c r="C4" s="86" t="inlineStr">
        <is>
          <t>Cantidad</t>
        </is>
      </c>
      <c r="D4" s="86" t="inlineStr">
        <is>
          <t>Sala Destino</t>
        </is>
      </c>
      <c r="F4" s="86" t="inlineStr">
        <is>
          <t>Variedad</t>
        </is>
      </c>
      <c r="G4" s="86" t="inlineStr">
        <is>
          <t>Fecha Ingreso</t>
        </is>
      </c>
      <c r="H4" s="86" t="inlineStr">
        <is>
          <t>Cantidad</t>
        </is>
      </c>
      <c r="I4" s="86" t="inlineStr">
        <is>
          <t>Sala Destino</t>
        </is>
      </c>
    </row>
    <row r="5" ht="14.25" customHeight="1" s="68">
      <c r="A5" s="87" t="inlineStr">
        <is>
          <t>Frozen Biscotti #2</t>
        </is>
      </c>
      <c r="B5" s="88" t="n"/>
      <c r="C5" s="89" t="n">
        <v>36</v>
      </c>
      <c r="D5" s="87" t="n"/>
      <c r="F5" s="90" t="inlineStr">
        <is>
          <t>MR</t>
        </is>
      </c>
      <c r="G5" s="91" t="n"/>
      <c r="H5" s="89" t="n">
        <v>36</v>
      </c>
      <c r="I5" s="90" t="inlineStr">
        <is>
          <t>Sala 6</t>
        </is>
      </c>
    </row>
    <row r="6" ht="14.25" customHeight="1" s="68">
      <c r="A6" s="87" t="inlineStr">
        <is>
          <t>Blue Zushi</t>
        </is>
      </c>
      <c r="B6" s="88" t="n"/>
      <c r="C6" s="89" t="n">
        <v>7</v>
      </c>
      <c r="D6" s="87" t="n"/>
      <c r="F6" s="90" t="inlineStr">
        <is>
          <t>Guava</t>
        </is>
      </c>
      <c r="G6" s="91" t="n"/>
      <c r="H6" s="89" t="n">
        <v>36</v>
      </c>
      <c r="I6" s="90" t="inlineStr">
        <is>
          <t>Sala 6</t>
        </is>
      </c>
    </row>
    <row r="7" ht="14.25" customHeight="1" s="68">
      <c r="A7" s="87" t="inlineStr">
        <is>
          <t>HTT #4</t>
        </is>
      </c>
      <c r="B7" s="88" t="n"/>
      <c r="C7" s="89" t="n">
        <v>41</v>
      </c>
      <c r="D7" s="87" t="n"/>
      <c r="F7" s="90" t="n"/>
      <c r="G7" s="91" t="n"/>
      <c r="H7" s="89" t="n"/>
      <c r="I7" s="90" t="n"/>
    </row>
    <row r="8" ht="14.25" customHeight="1" s="68">
      <c r="A8" s="87" t="inlineStr">
        <is>
          <t>Papaya #5</t>
        </is>
      </c>
      <c r="B8" s="88" t="n"/>
      <c r="C8" s="89" t="n">
        <v>24</v>
      </c>
      <c r="D8" s="87" t="n"/>
      <c r="F8" s="90" t="n"/>
      <c r="G8" s="91" t="n"/>
      <c r="H8" s="89" t="n"/>
      <c r="I8" s="90" t="n"/>
    </row>
    <row r="9" ht="14.25" customHeight="1" s="68">
      <c r="A9" s="87" t="inlineStr">
        <is>
          <t>Guava</t>
        </is>
      </c>
      <c r="B9" s="88" t="n"/>
      <c r="C9" s="89" t="n">
        <v>18</v>
      </c>
      <c r="D9" s="87" t="n"/>
      <c r="F9" s="90" t="n"/>
      <c r="G9" s="91" t="n"/>
      <c r="H9" s="89" t="n"/>
      <c r="I9" s="90" t="n"/>
    </row>
    <row r="10" ht="14.25" customHeight="1" s="68">
      <c r="A10" s="87" t="inlineStr">
        <is>
          <t>Pink Lemon #2</t>
        </is>
      </c>
      <c r="B10" s="88" t="n"/>
      <c r="C10" s="89" t="n">
        <v>12</v>
      </c>
      <c r="D10" s="87" t="n"/>
      <c r="F10" s="90" t="n"/>
      <c r="G10" s="91" t="n"/>
      <c r="H10" s="89" t="n"/>
      <c r="I10" s="90" t="n"/>
    </row>
    <row r="12" ht="15" customHeight="1" s="68">
      <c r="A12" s="85" t="inlineStr">
        <is>
          <t>PLANTAS MADRES</t>
        </is>
      </c>
      <c r="F12" s="79" t="inlineStr">
        <is>
          <t>HISTORIAL pH / EC / TEMP / HUM</t>
        </is>
      </c>
    </row>
    <row r="13" ht="24" customHeight="1" s="68">
      <c r="A13" s="86" t="inlineStr">
        <is>
          <t>Variedad</t>
        </is>
      </c>
      <c r="B13" s="92" t="inlineStr">
        <is>
          <t>Última toma
de clones</t>
        </is>
      </c>
      <c r="C13" s="86" t="inlineStr">
        <is>
          <t>Cantidad</t>
        </is>
      </c>
      <c r="D13" s="86" t="inlineStr">
        <is>
          <t>Observaciones</t>
        </is>
      </c>
      <c r="F13" s="80" t="inlineStr">
        <is>
          <t>Fecha</t>
        </is>
      </c>
      <c r="G13" s="80" t="inlineStr">
        <is>
          <t>pH</t>
        </is>
      </c>
      <c r="H13" s="80" t="inlineStr">
        <is>
          <t>EC (ppm)</t>
        </is>
      </c>
      <c r="I13" s="72" t="inlineStr">
        <is>
          <t>PPFD
(µmol/m²/s)</t>
        </is>
      </c>
      <c r="J13" s="80" t="inlineStr">
        <is>
          <t>Notas</t>
        </is>
      </c>
    </row>
    <row r="14" ht="14.25" customHeight="1" s="68">
      <c r="A14" s="93" t="inlineStr">
        <is>
          <t>Guava</t>
        </is>
      </c>
      <c r="B14" s="94" t="n"/>
      <c r="C14" s="75" t="n">
        <v>1</v>
      </c>
      <c r="D14" s="93" t="n"/>
      <c r="F14" s="81" t="n"/>
      <c r="G14" s="82" t="n"/>
      <c r="H14" s="82" t="n"/>
      <c r="I14" s="75" t="n"/>
      <c r="J14" s="82" t="n"/>
    </row>
    <row r="15" ht="14.25" customHeight="1" s="68">
      <c r="A15" s="93" t="inlineStr">
        <is>
          <t>MR</t>
        </is>
      </c>
      <c r="B15" s="94" t="n"/>
      <c r="C15" s="75" t="n">
        <v>2</v>
      </c>
      <c r="D15" s="93" t="n"/>
      <c r="F15" s="81" t="n"/>
      <c r="G15" s="82" t="n"/>
      <c r="H15" s="82" t="n"/>
      <c r="I15" s="75" t="n"/>
      <c r="J15" s="82" t="n"/>
    </row>
    <row r="16" ht="14.25" customHeight="1" s="68">
      <c r="A16" s="93" t="inlineStr">
        <is>
          <t>CC</t>
        </is>
      </c>
      <c r="B16" s="94" t="n"/>
      <c r="C16" s="75" t="n">
        <v>2</v>
      </c>
      <c r="D16" s="93" t="n"/>
      <c r="F16" s="81" t="n"/>
      <c r="G16" s="82" t="n"/>
      <c r="H16" s="82" t="n"/>
      <c r="I16" s="75" t="n"/>
      <c r="J16" s="82" t="n"/>
    </row>
    <row r="17" ht="14.25" customHeight="1" s="68">
      <c r="A17" s="93" t="inlineStr">
        <is>
          <t>Pink Lemon #2</t>
        </is>
      </c>
      <c r="B17" s="94" t="n"/>
      <c r="C17" s="75" t="n">
        <v>1</v>
      </c>
      <c r="D17" s="93" t="n"/>
      <c r="F17" s="81" t="n"/>
      <c r="G17" s="82" t="n"/>
      <c r="H17" s="82" t="n"/>
      <c r="I17" s="75" t="n"/>
      <c r="J17" s="82" t="n"/>
    </row>
    <row r="18" ht="14.25" customHeight="1" s="68">
      <c r="A18" s="93" t="inlineStr">
        <is>
          <t>HTT #4</t>
        </is>
      </c>
      <c r="B18" s="94" t="n"/>
      <c r="C18" s="75" t="n">
        <v>2</v>
      </c>
      <c r="D18" s="93" t="n"/>
      <c r="F18" s="81" t="n"/>
      <c r="G18" s="82" t="n"/>
      <c r="H18" s="82" t="n"/>
      <c r="I18" s="75" t="n"/>
      <c r="J18" s="82" t="n"/>
    </row>
    <row r="19" ht="14.25" customHeight="1" s="68">
      <c r="A19" s="93" t="inlineStr">
        <is>
          <t>Papaya #5</t>
        </is>
      </c>
      <c r="B19" s="94" t="n"/>
      <c r="C19" s="75" t="n">
        <v>3</v>
      </c>
      <c r="D19" s="93" t="n"/>
      <c r="F19" s="81" t="n"/>
      <c r="G19" s="82" t="n"/>
      <c r="H19" s="82" t="n"/>
      <c r="I19" s="75" t="n"/>
      <c r="J19" s="82" t="n"/>
    </row>
    <row r="20" ht="14.25" customHeight="1" s="68">
      <c r="A20" s="93" t="n"/>
      <c r="B20" s="94" t="n"/>
      <c r="C20" s="75" t="n"/>
      <c r="D20" s="93" t="n"/>
      <c r="F20" s="81" t="n"/>
      <c r="G20" s="82" t="n"/>
      <c r="H20" s="82" t="n"/>
      <c r="I20" s="75" t="n"/>
      <c r="J20" s="82" t="n"/>
    </row>
    <row r="21" ht="14.25" customHeight="1" s="68">
      <c r="A21" s="93" t="n"/>
      <c r="B21" s="94" t="n"/>
      <c r="C21" s="75" t="n"/>
      <c r="D21" s="93" t="n"/>
      <c r="F21" s="81" t="n"/>
      <c r="G21" s="82" t="n"/>
      <c r="H21" s="82" t="n"/>
      <c r="I21" s="75" t="n"/>
      <c r="J21" s="82" t="n"/>
    </row>
    <row r="22" ht="14.25" customHeight="1" s="68">
      <c r="A22" s="95" t="n"/>
      <c r="F22" s="81" t="n"/>
      <c r="G22" s="82" t="n"/>
      <c r="H22" s="82" t="n"/>
      <c r="I22" s="75" t="n"/>
      <c r="J22" s="82" t="n"/>
    </row>
    <row r="23" ht="14.25" customHeight="1" s="68">
      <c r="F23" s="81" t="n"/>
      <c r="G23" s="82" t="n"/>
      <c r="H23" s="82" t="n"/>
      <c r="I23" s="75" t="n"/>
      <c r="J23" s="82" t="n"/>
    </row>
    <row r="24" ht="14.25" customHeight="1" s="68">
      <c r="F24" s="81" t="n"/>
      <c r="G24" s="82" t="n"/>
      <c r="H24" s="82" t="n"/>
      <c r="I24" s="75" t="n"/>
      <c r="J24" s="82" t="n"/>
    </row>
    <row r="25" ht="14.25" customHeight="1" s="68">
      <c r="F25" s="81" t="n"/>
      <c r="G25" s="82" t="n"/>
      <c r="H25" s="82" t="n"/>
      <c r="I25" s="75" t="n"/>
      <c r="J25" s="82" t="n"/>
    </row>
  </sheetData>
  <mergeCells count="5">
    <mergeCell ref="A12:D12"/>
    <mergeCell ref="F3:I3"/>
    <mergeCell ref="A3:D3"/>
    <mergeCell ref="F12:I12"/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4C69D"/>
    <outlinePr summaryBelow="1" summaryRight="1"/>
    <pageSetUpPr fitToPage="0"/>
  </sheetPr>
  <dimension ref="A1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4" customWidth="1" style="67" min="1" max="1"/>
    <col width="16" customWidth="1" style="67" min="2" max="2"/>
    <col width="18" customWidth="1" style="67" min="3" max="3"/>
    <col width="50" customWidth="1" style="67" min="4" max="4"/>
  </cols>
  <sheetData>
    <row r="1" ht="27.75" customHeight="1" s="68">
      <c r="A1" s="96" t="inlineStr">
        <is>
          <t>🗓️  PROYECCIÓN DE DISPONIBILIDAD POR SALA/CARPA</t>
        </is>
      </c>
    </row>
    <row r="2" ht="30" customHeight="1" s="68">
      <c r="A2" s="97" t="inlineStr">
        <is>
      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      </is>
      </c>
    </row>
    <row r="4" ht="24" customHeight="1" s="68">
      <c r="A4" s="72" t="inlineStr">
        <is>
          <t>Sala / Carpa</t>
        </is>
      </c>
      <c r="B4" s="72" t="inlineStr">
        <is>
          <t>Fecha Disponible</t>
        </is>
      </c>
      <c r="C4" s="72" t="inlineStr">
        <is>
          <t>Mes</t>
        </is>
      </c>
      <c r="D4" s="72" t="inlineStr">
        <is>
          <t>Variedades Disponibles (cantidad)</t>
        </is>
      </c>
    </row>
    <row r="5" ht="15" customHeight="1" s="68">
      <c r="A5" s="98" t="inlineStr">
        <is>
          <t>SALA 6</t>
        </is>
      </c>
      <c r="B5" s="99" t="n">
        <v>46197</v>
      </c>
      <c r="C5" s="100" t="inlineStr">
        <is>
          <t>Junio 2026</t>
        </is>
      </c>
      <c r="D5" s="101" t="inlineStr">
        <is>
          <t>Papaya Feno Hunting (22), Cherry Zoda (19), Brrberry (3), Sour nana (1), Spritz (3)</t>
        </is>
      </c>
    </row>
    <row r="6" ht="15" customHeight="1" s="68">
      <c r="A6" s="98" t="inlineStr">
        <is>
          <t>CARPA 3</t>
        </is>
      </c>
      <c r="B6" s="99" t="n">
        <v>46214</v>
      </c>
      <c r="C6" s="100" t="inlineStr">
        <is>
          <t>Julio 2026</t>
        </is>
      </c>
      <c r="D6" s="101" t="inlineStr">
        <is>
          <t>Guava (37)</t>
        </is>
      </c>
    </row>
    <row r="7" ht="15" customHeight="1" s="68">
      <c r="A7" s="98" t="inlineStr">
        <is>
          <t>SALA 2</t>
        </is>
      </c>
      <c r="B7" s="99" t="n">
        <v>46221</v>
      </c>
      <c r="C7" s="100" t="inlineStr">
        <is>
          <t>Julio 2026</t>
        </is>
      </c>
      <c r="D7" s="101" t="inlineStr">
        <is>
          <t>Guava (30), Mix (10)</t>
        </is>
      </c>
    </row>
    <row r="8" ht="15" customHeight="1" s="68">
      <c r="A8" s="98" t="inlineStr">
        <is>
          <t>SALA 3</t>
        </is>
      </c>
      <c r="B8" s="99" t="n">
        <v>46234</v>
      </c>
      <c r="C8" s="100" t="inlineStr">
        <is>
          <t>Julio 2026</t>
        </is>
      </c>
      <c r="D8" s="101" t="inlineStr">
        <is>
          <t>Lemon Cherry (18), Frozen Biscotti #2 (26), HTT #4 (19), Blue Zushi (9)</t>
        </is>
      </c>
    </row>
    <row r="9" ht="15" customHeight="1" s="68">
      <c r="A9" s="98" t="inlineStr">
        <is>
          <t>SALA 4</t>
        </is>
      </c>
      <c r="B9" s="99" t="n">
        <v>46240</v>
      </c>
      <c r="C9" s="100" t="inlineStr">
        <is>
          <t>Agosto 2026</t>
        </is>
      </c>
      <c r="D9" s="101" t="inlineStr">
        <is>
          <t>Brrberry (16), Cherry Zoda (12), Spritz (22)</t>
        </is>
      </c>
    </row>
    <row r="10" ht="15" customHeight="1" s="68">
      <c r="A10" s="98" t="inlineStr">
        <is>
          <t>SALA 5</t>
        </is>
      </c>
      <c r="B10" s="99" t="n">
        <v>46252</v>
      </c>
      <c r="C10" s="100" t="inlineStr">
        <is>
          <t>Agosto 2026</t>
        </is>
      </c>
      <c r="D10" s="101" t="inlineStr">
        <is>
          <t>Papaya Feno Hunting (33)</t>
        </is>
      </c>
    </row>
    <row r="11" ht="15" customHeight="1" s="68">
      <c r="A11" s="98" t="inlineStr">
        <is>
          <t>CARPA 2</t>
        </is>
      </c>
      <c r="B11" s="99" t="n">
        <v>46253</v>
      </c>
      <c r="C11" s="100" t="inlineStr">
        <is>
          <t>Agosto 2026</t>
        </is>
      </c>
      <c r="D11" s="101" t="inlineStr">
        <is>
          <t>HTT Feno Hunt Mix (25)</t>
        </is>
      </c>
    </row>
    <row r="12" ht="15" customHeight="1" s="68">
      <c r="A12" s="98" t="inlineStr">
        <is>
          <t>SALA 1</t>
        </is>
      </c>
      <c r="B12" s="99" t="n">
        <v>46262</v>
      </c>
      <c r="C12" s="100" t="inlineStr">
        <is>
          <t>Agosto 2026</t>
        </is>
      </c>
      <c r="D12" s="101" t="inlineStr">
        <is>
          <t>Coco (28), MR (44)</t>
        </is>
      </c>
    </row>
    <row r="13" ht="15" customHeight="1" s="68">
      <c r="A13" s="98" t="inlineStr">
        <is>
          <t>CARPA 1</t>
        </is>
      </c>
      <c r="B13" s="99" t="n">
        <v>46272</v>
      </c>
      <c r="C13" s="100" t="inlineStr">
        <is>
          <t>Septiembre 2026</t>
        </is>
      </c>
      <c r="D13" s="101" t="inlineStr">
        <is>
          <t>Cherry Zoda (3), Hot tub time (2), Papaya Feno Hunting (5)</t>
        </is>
      </c>
    </row>
    <row r="14" ht="15" customHeight="1" s="68">
      <c r="A14" s="98" t="inlineStr">
        <is>
          <t>CARPA 4</t>
        </is>
      </c>
      <c r="B14" s="99" t="n">
        <v>46276</v>
      </c>
      <c r="C14" s="100" t="inlineStr">
        <is>
          <t>Septiembre 2026</t>
        </is>
      </c>
      <c r="D14" s="101" t="inlineStr">
        <is>
          <t>Coco (14)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07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A31" activeCellId="0" sqref="A31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  <col width="15.56" customWidth="1" style="67" min="16" max="16"/>
  </cols>
  <sheetData>
    <row r="1" ht="30" customHeight="1" s="68">
      <c r="A1" s="84" t="inlineStr">
        <is>
          <t>🌿  SALA 1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46183</v>
      </c>
      <c r="I3" s="82" t="n">
        <v>5.9</v>
      </c>
      <c r="J3" s="82" t="n">
        <v>1700</v>
      </c>
      <c r="K3" s="82" t="n"/>
      <c r="L3" s="82" t="n"/>
      <c r="M3" s="75" t="n"/>
      <c r="N3" s="82" t="n"/>
    </row>
    <row r="4" ht="14.25" customHeight="1" s="68">
      <c r="A4" s="104" t="inlineStr">
        <is>
          <t>Esquejes</t>
        </is>
      </c>
      <c r="B4" s="105" t="n">
        <v>21</v>
      </c>
      <c r="C4" s="106" t="n">
        <v>46122</v>
      </c>
      <c r="H4" s="81" t="n">
        <v>46184</v>
      </c>
      <c r="I4" s="82" t="n">
        <v>6</v>
      </c>
      <c r="J4" s="82" t="n">
        <v>1850</v>
      </c>
      <c r="K4" s="82" t="n"/>
      <c r="L4" s="82" t="n"/>
      <c r="M4" s="75" t="n"/>
      <c r="N4" s="82" t="n"/>
    </row>
    <row r="5" ht="14.25" customHeight="1" s="68">
      <c r="A5" s="104" t="inlineStr">
        <is>
          <t>Trasplante a Vaso</t>
        </is>
      </c>
      <c r="B5" s="105" t="n">
        <v>14</v>
      </c>
      <c r="C5" s="106">
        <f>IF(C4="","",C4+B4)</f>
        <v/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Maceta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Ingreso a Sala</t>
        </is>
      </c>
      <c r="B7" s="105" t="n">
        <v>16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7" t="inlineStr">
        <is>
          <t>Floración</t>
        </is>
      </c>
      <c r="B8" s="108" t="n">
        <v>63</v>
      </c>
      <c r="C8" s="109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10" t="inlineStr">
        <is>
          <t>Corte</t>
        </is>
      </c>
      <c r="B9" s="111" t="n">
        <v>3</v>
      </c>
      <c r="C9" s="112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07" t="inlineStr">
        <is>
          <t>Secado</t>
        </is>
      </c>
      <c r="B10" s="108" t="n">
        <v>7</v>
      </c>
      <c r="C10" s="109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10" t="inlineStr">
        <is>
          <t>Procesado</t>
        </is>
      </c>
      <c r="B11" s="111" t="n">
        <v>3</v>
      </c>
      <c r="C11" s="112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07" t="inlineStr">
        <is>
          <t>Disponible</t>
        </is>
      </c>
      <c r="B12" s="108" t="n"/>
      <c r="C12" s="113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4" t="n"/>
      <c r="B13" s="105" t="n"/>
      <c r="C13" s="106" t="n"/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Coco</t>
        </is>
      </c>
      <c r="B16" s="75" t="n">
        <v>28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93" t="inlineStr">
        <is>
          <t>MR</t>
        </is>
      </c>
      <c r="B17" s="75" t="n">
        <v>44</v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17" t="inlineStr">
        <is>
          <t>TOTAL</t>
        </is>
      </c>
      <c r="B18" s="86">
        <f>SUM(B16:B17)</f>
        <v/>
      </c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4" t="n"/>
      <c r="B19" s="114" t="n"/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4.25" customHeight="1" s="68">
      <c r="A20" s="118" t="inlineStr">
        <is>
          <t>Observaciones:</t>
        </is>
      </c>
      <c r="B20" s="103" t="n"/>
      <c r="C20" s="103" t="n"/>
      <c r="D20" s="103" t="n"/>
      <c r="E20" s="103" t="n"/>
      <c r="F20" s="103" t="n"/>
      <c r="H20" s="81" t="n"/>
      <c r="I20" s="82" t="n"/>
      <c r="J20" s="82" t="n"/>
      <c r="K20" s="82" t="n"/>
      <c r="L20" s="82" t="n"/>
      <c r="M20" s="75" t="n"/>
      <c r="N20" s="82" t="n"/>
    </row>
    <row r="21" ht="39.75" customHeight="1" s="68">
      <c r="A21" s="119" t="inlineStr">
        <is>
      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      </is>
      </c>
      <c r="B21" s="120" t="n"/>
      <c r="C21" s="120" t="n"/>
      <c r="D21" s="120" t="n"/>
      <c r="E21" s="120" t="n"/>
      <c r="F21" s="120" t="n"/>
      <c r="H21" s="81" t="n"/>
      <c r="I21" s="82" t="n"/>
      <c r="J21" s="82" t="n"/>
      <c r="K21" s="82" t="n"/>
      <c r="L21" s="82" t="n"/>
      <c r="M21" s="75" t="n"/>
      <c r="N21" s="82" t="n"/>
    </row>
    <row r="22" ht="14.25" customHeight="1" s="68">
      <c r="A22" s="121" t="n"/>
      <c r="B22" s="122" t="n"/>
      <c r="C22" s="122" t="n"/>
      <c r="D22" s="122" t="n"/>
      <c r="E22" s="122" t="n"/>
      <c r="F22" s="122" t="n"/>
      <c r="H22" s="81" t="n"/>
      <c r="I22" s="82" t="n"/>
      <c r="J22" s="82" t="n"/>
      <c r="K22" s="82" t="n"/>
      <c r="L22" s="82" t="n"/>
      <c r="M22" s="75" t="n"/>
      <c r="N22" s="82" t="n"/>
    </row>
    <row r="23" ht="14.25" customHeight="1" s="68">
      <c r="A23" s="114" t="n"/>
      <c r="B23" s="114" t="n"/>
      <c r="C23" s="114" t="n"/>
      <c r="H23" s="81" t="n"/>
      <c r="I23" s="82" t="n"/>
      <c r="J23" s="82" t="n"/>
      <c r="K23" s="82" t="n"/>
      <c r="L23" s="82" t="n"/>
      <c r="M23" s="75" t="n"/>
      <c r="N23" s="82" t="n"/>
    </row>
    <row r="24" ht="19.5" customHeight="1" s="68">
      <c r="A24" s="102" t="inlineStr">
        <is>
          <t>CICLO 2</t>
        </is>
      </c>
      <c r="B24" s="103" t="n"/>
      <c r="C24" s="103" t="n"/>
      <c r="D24" s="103" t="n"/>
      <c r="E24" s="103" t="n"/>
      <c r="F24" s="103" t="n"/>
      <c r="H24" s="81" t="n"/>
      <c r="I24" s="82" t="n"/>
      <c r="J24" s="82" t="n"/>
      <c r="K24" s="82" t="n"/>
      <c r="L24" s="82" t="n"/>
      <c r="M24" s="75" t="n"/>
      <c r="N24" s="82" t="n"/>
    </row>
    <row r="25" ht="14.25" customHeight="1" s="68">
      <c r="A25" s="86" t="inlineStr">
        <is>
          <t>Etapa</t>
        </is>
      </c>
      <c r="B25" s="86" t="inlineStr">
        <is>
          <t>Días</t>
        </is>
      </c>
      <c r="C25" s="86" t="inlineStr">
        <is>
          <t>Fecha Inicio</t>
        </is>
      </c>
      <c r="H25" s="81" t="n"/>
      <c r="I25" s="82" t="n"/>
      <c r="J25" s="82" t="n"/>
      <c r="K25" s="82" t="n"/>
      <c r="L25" s="82" t="n"/>
      <c r="M25" s="75" t="n"/>
      <c r="N25" s="82" t="n"/>
    </row>
    <row r="26" ht="14.25" customHeight="1" s="68">
      <c r="A26" s="107" t="inlineStr">
        <is>
          <t>Esquejes</t>
        </is>
      </c>
      <c r="B26" s="108" t="n">
        <v>21</v>
      </c>
      <c r="C26" s="109" t="n"/>
      <c r="H26" s="81" t="n"/>
      <c r="I26" s="82" t="n"/>
      <c r="J26" s="82" t="n"/>
      <c r="K26" s="82" t="n"/>
      <c r="L26" s="82" t="n"/>
      <c r="M26" s="75" t="n"/>
      <c r="N26" s="82" t="n"/>
    </row>
    <row r="27" ht="14.25" customHeight="1" s="68">
      <c r="A27" s="110" t="inlineStr">
        <is>
          <t>Trasplante a Vaso</t>
        </is>
      </c>
      <c r="B27" s="111" t="n">
        <v>14</v>
      </c>
      <c r="C27" s="112" t="n"/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107" t="inlineStr">
        <is>
          <t>Trasplante Maceta</t>
        </is>
      </c>
      <c r="B28" s="108" t="n">
        <v>14</v>
      </c>
      <c r="C28" s="109" t="n"/>
    </row>
    <row r="29" ht="14.25" customHeight="1" s="68">
      <c r="A29" s="110" t="inlineStr">
        <is>
          <t>Ingreso a Sala</t>
        </is>
      </c>
      <c r="B29" s="111" t="n">
        <v>16</v>
      </c>
      <c r="C29" s="112">
        <f>C11+1</f>
        <v/>
      </c>
    </row>
    <row r="30" ht="14.25" customHeight="1" s="68">
      <c r="A30" s="107" t="inlineStr">
        <is>
          <t>Floración</t>
        </is>
      </c>
      <c r="B30" s="108" t="n">
        <v>63</v>
      </c>
      <c r="C30" s="109">
        <f>IF(C29="","",C29+B29)</f>
        <v/>
      </c>
    </row>
    <row r="31" ht="14.25" customHeight="1" s="68">
      <c r="A31" s="110" t="inlineStr">
        <is>
          <t>Corte</t>
        </is>
      </c>
      <c r="B31" s="111" t="n">
        <v>3</v>
      </c>
      <c r="C31" s="112">
        <f>IF(C30="","",C30+B30)</f>
        <v/>
      </c>
    </row>
    <row r="32" ht="14.25" customHeight="1" s="68">
      <c r="A32" s="107" t="inlineStr">
        <is>
          <t>Secado</t>
        </is>
      </c>
      <c r="B32" s="108" t="n">
        <v>7</v>
      </c>
      <c r="C32" s="109">
        <f>IF(C31="","",C31+B31)</f>
        <v/>
      </c>
    </row>
    <row r="33" ht="14.25" customHeight="1" s="68">
      <c r="A33" s="110" t="inlineStr">
        <is>
          <t>Procesado</t>
        </is>
      </c>
      <c r="B33" s="111" t="n">
        <v>3</v>
      </c>
      <c r="C33" s="112">
        <f>IF(C32="","",C32+B32)</f>
        <v/>
      </c>
    </row>
    <row r="34" ht="14.25" customHeight="1" s="68">
      <c r="A34" s="107" t="inlineStr">
        <is>
          <t>Disponible</t>
        </is>
      </c>
      <c r="B34" s="108" t="n"/>
      <c r="C34" s="109">
        <f>IF(C33="","",C33+B33)</f>
        <v/>
      </c>
    </row>
    <row r="35" ht="14.25" customHeight="1" s="68">
      <c r="A35" s="114" t="n"/>
      <c r="B35" s="114" t="n"/>
      <c r="C35" s="114" t="n"/>
    </row>
    <row r="36" ht="14.25" customHeight="1" s="68">
      <c r="A36" s="115" t="inlineStr">
        <is>
          <t>VARIEDADES</t>
        </is>
      </c>
      <c r="B36" s="116" t="inlineStr">
        <is>
          <t>Cant.</t>
        </is>
      </c>
      <c r="C36" s="114" t="n"/>
    </row>
    <row r="37" ht="14.25" customHeight="1" s="68">
      <c r="A37" s="93" t="n"/>
      <c r="B37" s="75" t="n"/>
      <c r="C37" s="114" t="n"/>
    </row>
    <row r="38" ht="14.25" customHeight="1" s="68">
      <c r="A38" s="93" t="n"/>
      <c r="B38" s="75" t="n"/>
      <c r="C38" s="114" t="n"/>
    </row>
    <row r="39" ht="14.25" customHeight="1" s="68">
      <c r="A39" s="117" t="inlineStr">
        <is>
          <t>TOTAL</t>
        </is>
      </c>
      <c r="B39" s="86">
        <f>SUM(B37:B38)</f>
        <v/>
      </c>
      <c r="C39" s="114" t="n"/>
    </row>
    <row r="40" ht="14.25" customHeight="1" s="68">
      <c r="A40" s="114" t="n"/>
      <c r="B40" s="114" t="n"/>
      <c r="C40" s="114" t="n"/>
    </row>
    <row r="41" ht="14.25" customHeight="1" s="68">
      <c r="A41" s="118" t="inlineStr">
        <is>
          <t>Observaciones:</t>
        </is>
      </c>
      <c r="B41" s="103" t="n"/>
      <c r="C41" s="103" t="n"/>
      <c r="D41" s="103" t="n"/>
      <c r="E41" s="103" t="n"/>
      <c r="F41" s="103" t="n"/>
    </row>
    <row r="42" ht="76.5" customHeight="1" s="68">
      <c r="A42" s="119" t="n"/>
      <c r="B42" s="120" t="n"/>
      <c r="C42" s="120" t="n"/>
      <c r="D42" s="120" t="n"/>
      <c r="E42" s="120" t="n"/>
      <c r="F42" s="120" t="n"/>
    </row>
    <row r="43" ht="14.25" customHeight="1" s="68">
      <c r="A43" s="121" t="n"/>
      <c r="B43" s="122" t="n"/>
      <c r="C43" s="122" t="n"/>
      <c r="D43" s="122" t="n"/>
      <c r="E43" s="122" t="n"/>
      <c r="F43" s="122" t="n"/>
    </row>
    <row r="44" ht="14.25" customHeight="1" s="68">
      <c r="A44" s="114" t="n"/>
      <c r="B44" s="114" t="n"/>
      <c r="C44" s="114" t="n"/>
    </row>
    <row r="45" ht="19.5" customHeight="1" s="68">
      <c r="A45" s="102" t="inlineStr">
        <is>
          <t>CICLO 3</t>
        </is>
      </c>
      <c r="B45" s="103" t="n"/>
      <c r="C45" s="103" t="n"/>
      <c r="D45" s="103" t="n"/>
      <c r="E45" s="103" t="n"/>
      <c r="F45" s="103" t="n"/>
    </row>
    <row r="46" ht="14.25" customHeight="1" s="68">
      <c r="A46" s="86" t="inlineStr">
        <is>
          <t>Etapa</t>
        </is>
      </c>
      <c r="B46" s="86" t="inlineStr">
        <is>
          <t>Días</t>
        </is>
      </c>
      <c r="C46" s="86" t="inlineStr">
        <is>
          <t>Fecha Inicio</t>
        </is>
      </c>
    </row>
    <row r="47" ht="14.25" customHeight="1" s="68">
      <c r="A47" s="107" t="inlineStr">
        <is>
          <t>Esquejes</t>
        </is>
      </c>
      <c r="B47" s="108" t="n">
        <v>21</v>
      </c>
      <c r="C47" s="94" t="n"/>
    </row>
    <row r="48" ht="14.25" customHeight="1" s="68">
      <c r="A48" s="110" t="inlineStr">
        <is>
          <t>Trasplante a Vaso</t>
        </is>
      </c>
      <c r="B48" s="111" t="n">
        <v>14</v>
      </c>
      <c r="C48" s="112" t="n"/>
    </row>
    <row r="49" ht="14.25" customHeight="1" s="68">
      <c r="A49" s="107" t="inlineStr">
        <is>
          <t>Trasplante Maceta</t>
        </is>
      </c>
      <c r="B49" s="108" t="n">
        <v>14</v>
      </c>
      <c r="C49" s="109" t="n"/>
    </row>
    <row r="50" ht="14.25" customHeight="1" s="68">
      <c r="A50" s="110" t="inlineStr">
        <is>
          <t>Ingreso a Sala</t>
        </is>
      </c>
      <c r="B50" s="111" t="n">
        <v>16</v>
      </c>
      <c r="C50" s="112">
        <f>C33+1</f>
        <v/>
      </c>
    </row>
    <row r="51" ht="14.25" customHeight="1" s="68">
      <c r="A51" s="107" t="inlineStr">
        <is>
          <t>Floración</t>
        </is>
      </c>
      <c r="B51" s="108" t="n">
        <v>63</v>
      </c>
      <c r="C51" s="109">
        <f>IF(C50="","",C50+B50)</f>
        <v/>
      </c>
    </row>
    <row r="52" ht="14.25" customHeight="1" s="68">
      <c r="A52" s="110" t="inlineStr">
        <is>
          <t>Corte</t>
        </is>
      </c>
      <c r="B52" s="111" t="n">
        <v>3</v>
      </c>
      <c r="C52" s="112">
        <f>IF(C51="","",C51+B51)</f>
        <v/>
      </c>
    </row>
    <row r="53" ht="14.25" customHeight="1" s="68">
      <c r="A53" s="107" t="inlineStr">
        <is>
          <t>Secado</t>
        </is>
      </c>
      <c r="B53" s="108" t="n">
        <v>7</v>
      </c>
      <c r="C53" s="109">
        <f>IF(C52="","",C52+B52)</f>
        <v/>
      </c>
    </row>
    <row r="54" ht="14.25" customHeight="1" s="68">
      <c r="A54" s="110" t="inlineStr">
        <is>
          <t>Procesado</t>
        </is>
      </c>
      <c r="B54" s="111" t="n">
        <v>3</v>
      </c>
      <c r="C54" s="112">
        <f>IF(C53="","",C53+B53)</f>
        <v/>
      </c>
    </row>
    <row r="55" ht="14.25" customHeight="1" s="68">
      <c r="A55" s="107" t="inlineStr">
        <is>
          <t>Disponible</t>
        </is>
      </c>
      <c r="B55" s="108" t="n"/>
      <c r="C55" s="113">
        <f>IF(C54="","",C54+B54)</f>
        <v/>
      </c>
    </row>
    <row r="56" ht="14.25" customHeight="1" s="68">
      <c r="A56" s="114" t="n"/>
      <c r="B56" s="114" t="n"/>
      <c r="C56" s="114" t="n"/>
    </row>
    <row r="57" ht="14.25" customHeight="1" s="68">
      <c r="A57" s="115" t="inlineStr">
        <is>
          <t>VARIEDADES</t>
        </is>
      </c>
      <c r="B57" s="116" t="inlineStr">
        <is>
          <t>Cant.</t>
        </is>
      </c>
      <c r="C57" s="114" t="n"/>
    </row>
    <row r="58" ht="14.25" customHeight="1" s="68">
      <c r="A58" s="93" t="n"/>
      <c r="B58" s="75" t="n"/>
      <c r="C58" s="114" t="n"/>
    </row>
    <row r="59" ht="14.25" customHeight="1" s="68">
      <c r="A59" s="93" t="n"/>
      <c r="B59" s="75" t="n"/>
      <c r="C59" s="114" t="n"/>
    </row>
    <row r="60" ht="14.25" customHeight="1" s="68">
      <c r="A60" s="117" t="inlineStr">
        <is>
          <t>TOTAL</t>
        </is>
      </c>
      <c r="B60" s="86">
        <f>SUM(B58:B59)</f>
        <v/>
      </c>
      <c r="C60" s="114" t="n"/>
    </row>
    <row r="61" ht="14.25" customHeight="1" s="68">
      <c r="A61" s="114" t="n"/>
      <c r="B61" s="114" t="n"/>
      <c r="C61" s="114" t="n"/>
    </row>
    <row r="62" ht="14.25" customHeight="1" s="68">
      <c r="A62" s="118" t="inlineStr">
        <is>
          <t>Observaciones:</t>
        </is>
      </c>
      <c r="B62" s="103" t="n"/>
      <c r="C62" s="103" t="n"/>
      <c r="D62" s="103" t="n"/>
      <c r="E62" s="103" t="n"/>
      <c r="F62" s="103" t="n"/>
    </row>
    <row r="63" ht="39.75" customHeight="1" s="68">
      <c r="A63" s="119" t="n"/>
      <c r="B63" s="120" t="n"/>
      <c r="C63" s="120" t="n"/>
      <c r="D63" s="120" t="n"/>
      <c r="E63" s="120" t="n"/>
      <c r="F63" s="120" t="n"/>
    </row>
    <row r="64" ht="14.25" customHeight="1" s="68">
      <c r="A64" s="121" t="n"/>
      <c r="B64" s="122" t="n"/>
      <c r="C64" s="122" t="n"/>
      <c r="D64" s="122" t="n"/>
      <c r="E64" s="122" t="n"/>
      <c r="F64" s="122" t="n"/>
    </row>
    <row r="65" ht="14.25" customHeight="1" s="68">
      <c r="A65" s="114" t="n"/>
      <c r="B65" s="114" t="n"/>
      <c r="C65" s="114" t="n"/>
    </row>
    <row r="66" ht="19.5" customHeight="1" s="68">
      <c r="A66" s="102" t="inlineStr">
        <is>
          <t>CICLO 4</t>
        </is>
      </c>
      <c r="B66" s="103" t="n"/>
      <c r="C66" s="103" t="n"/>
      <c r="D66" s="103" t="n"/>
      <c r="E66" s="103" t="n"/>
      <c r="F66" s="103" t="n"/>
    </row>
    <row r="67" ht="14.25" customHeight="1" s="68">
      <c r="A67" s="86" t="inlineStr">
        <is>
          <t>Etapa</t>
        </is>
      </c>
      <c r="B67" s="86" t="inlineStr">
        <is>
          <t>Días</t>
        </is>
      </c>
      <c r="C67" s="86" t="inlineStr">
        <is>
          <t>Fecha Inicio</t>
        </is>
      </c>
    </row>
    <row r="68" ht="14.25" customHeight="1" s="68">
      <c r="A68" s="107" t="inlineStr">
        <is>
          <t>Esquejes</t>
        </is>
      </c>
      <c r="B68" s="108" t="n">
        <v>21</v>
      </c>
      <c r="C68" s="109" t="n"/>
    </row>
    <row r="69" ht="14.25" customHeight="1" s="68">
      <c r="A69" s="110" t="inlineStr">
        <is>
          <t>Trasplante a Vaso</t>
        </is>
      </c>
      <c r="B69" s="111" t="n">
        <v>14</v>
      </c>
      <c r="C69" s="112" t="n"/>
    </row>
    <row r="70" ht="14.25" customHeight="1" s="68">
      <c r="A70" s="107" t="inlineStr">
        <is>
          <t>Trasplante Maceta</t>
        </is>
      </c>
      <c r="B70" s="108" t="n">
        <v>14</v>
      </c>
      <c r="C70" s="109" t="n"/>
    </row>
    <row r="71" ht="14.25" customHeight="1" s="68">
      <c r="A71" s="110" t="inlineStr">
        <is>
          <t>Ingreso a Sala</t>
        </is>
      </c>
      <c r="B71" s="111" t="n">
        <v>16</v>
      </c>
      <c r="C71" s="112">
        <f>C54+1</f>
        <v/>
      </c>
    </row>
    <row r="72" ht="14.25" customHeight="1" s="68">
      <c r="A72" s="107" t="inlineStr">
        <is>
          <t>Floración</t>
        </is>
      </c>
      <c r="B72" s="108" t="n">
        <v>63</v>
      </c>
      <c r="C72" s="109">
        <f>IF(C71="","",C71+B71)</f>
        <v/>
      </c>
    </row>
    <row r="73" ht="14.25" customHeight="1" s="68">
      <c r="A73" s="110" t="inlineStr">
        <is>
          <t>Corte</t>
        </is>
      </c>
      <c r="B73" s="111" t="n">
        <v>3</v>
      </c>
      <c r="C73" s="112">
        <f>IF(C72="","",C72+B72)</f>
        <v/>
      </c>
    </row>
    <row r="74" ht="14.25" customHeight="1" s="68">
      <c r="A74" s="107" t="inlineStr">
        <is>
          <t>Secado</t>
        </is>
      </c>
      <c r="B74" s="108" t="n">
        <v>7</v>
      </c>
      <c r="C74" s="109">
        <f>IF(C73="","",C73+B73)</f>
        <v/>
      </c>
    </row>
    <row r="75" ht="14.25" customHeight="1" s="68">
      <c r="A75" s="110" t="inlineStr">
        <is>
          <t>Procesado</t>
        </is>
      </c>
      <c r="B75" s="111" t="n">
        <v>3</v>
      </c>
      <c r="C75" s="112">
        <f>IF(C74="","",C74+B74)</f>
        <v/>
      </c>
    </row>
    <row r="76" ht="14.25" customHeight="1" s="68">
      <c r="A76" s="107" t="inlineStr">
        <is>
          <t>Disponible</t>
        </is>
      </c>
      <c r="B76" s="108" t="n"/>
      <c r="C76" s="109">
        <f>IF(C75="","",C75+B75)</f>
        <v/>
      </c>
    </row>
    <row r="77" ht="14.25" customHeight="1" s="68">
      <c r="A77" s="114" t="n"/>
      <c r="B77" s="114" t="n"/>
      <c r="C77" s="114" t="n"/>
    </row>
    <row r="78" ht="14.25" customHeight="1" s="68">
      <c r="A78" s="115" t="inlineStr">
        <is>
          <t>VARIEDADES</t>
        </is>
      </c>
      <c r="B78" s="116" t="inlineStr">
        <is>
          <t>Cant.</t>
        </is>
      </c>
      <c r="C78" s="114" t="n"/>
    </row>
    <row r="79" ht="14.25" customHeight="1" s="68">
      <c r="A79" s="93" t="n"/>
      <c r="B79" s="75" t="n"/>
      <c r="C79" s="114" t="n"/>
    </row>
    <row r="80" ht="14.25" customHeight="1" s="68">
      <c r="A80" s="93" t="n"/>
      <c r="B80" s="75" t="n"/>
      <c r="C80" s="114" t="n"/>
    </row>
    <row r="81" ht="14.25" customHeight="1" s="68">
      <c r="A81" s="117" t="inlineStr">
        <is>
          <t>TOTAL</t>
        </is>
      </c>
      <c r="B81" s="86">
        <f>SUM(B79:B80)</f>
        <v/>
      </c>
      <c r="C81" s="114" t="n"/>
    </row>
    <row r="82" ht="14.25" customHeight="1" s="68">
      <c r="A82" s="114" t="n"/>
      <c r="B82" s="114" t="n"/>
      <c r="C82" s="114" t="n"/>
    </row>
    <row r="83" ht="14.25" customHeight="1" s="68">
      <c r="A83" s="118" t="inlineStr">
        <is>
          <t>Observaciones:</t>
        </is>
      </c>
      <c r="B83" s="103" t="n"/>
      <c r="C83" s="103" t="n"/>
      <c r="D83" s="103" t="n"/>
      <c r="E83" s="103" t="n"/>
      <c r="F83" s="103" t="n"/>
    </row>
    <row r="84" ht="76.5" customHeight="1" s="68">
      <c r="A84" s="119" t="n"/>
      <c r="B84" s="120" t="n"/>
      <c r="C84" s="120" t="n"/>
      <c r="D84" s="120" t="n"/>
      <c r="E84" s="120" t="n"/>
      <c r="F84" s="120" t="n"/>
    </row>
    <row r="85" ht="14.25" customHeight="1" s="68">
      <c r="A85" s="121" t="n"/>
      <c r="B85" s="122" t="n"/>
      <c r="C85" s="122" t="n"/>
      <c r="D85" s="122" t="n"/>
      <c r="E85" s="122" t="n"/>
      <c r="F85" s="122" t="n"/>
    </row>
    <row r="86" ht="14.25" customHeight="1" s="68">
      <c r="A86" s="114" t="n"/>
      <c r="B86" s="114" t="n"/>
      <c r="C86" s="114" t="n"/>
    </row>
    <row r="87" ht="19.5" customHeight="1" s="68">
      <c r="A87" s="102" t="inlineStr">
        <is>
          <t>CICLO 5</t>
        </is>
      </c>
      <c r="B87" s="103" t="n"/>
      <c r="C87" s="103" t="n"/>
      <c r="D87" s="103" t="n"/>
      <c r="E87" s="103" t="n"/>
      <c r="F87" s="103" t="n"/>
    </row>
    <row r="88" ht="14.25" customHeight="1" s="68">
      <c r="A88" s="86" t="inlineStr">
        <is>
          <t>Etapa</t>
        </is>
      </c>
      <c r="B88" s="86" t="inlineStr">
        <is>
          <t>Días</t>
        </is>
      </c>
      <c r="C88" s="86" t="inlineStr">
        <is>
          <t>Fecha Inicio</t>
        </is>
      </c>
    </row>
    <row r="89" ht="14.25" customHeight="1" s="68">
      <c r="A89" s="107" t="inlineStr">
        <is>
          <t>Esquejes</t>
        </is>
      </c>
      <c r="B89" s="108" t="n">
        <v>21</v>
      </c>
      <c r="C89" s="109" t="n"/>
    </row>
    <row r="90" ht="14.25" customHeight="1" s="68">
      <c r="A90" s="110" t="inlineStr">
        <is>
          <t>Trasplante a Vaso</t>
        </is>
      </c>
      <c r="B90" s="111" t="n">
        <v>14</v>
      </c>
      <c r="C90" s="112" t="n"/>
    </row>
    <row r="91" ht="14.25" customHeight="1" s="68">
      <c r="A91" s="107" t="inlineStr">
        <is>
          <t>Trasplante Maceta</t>
        </is>
      </c>
      <c r="B91" s="108" t="n">
        <v>14</v>
      </c>
      <c r="C91" s="109" t="n"/>
    </row>
    <row r="92" ht="14.25" customHeight="1" s="68">
      <c r="A92" s="110" t="inlineStr">
        <is>
          <t>Ingreso a Sala</t>
        </is>
      </c>
      <c r="B92" s="111" t="n">
        <v>16</v>
      </c>
      <c r="C92" s="112">
        <f>C75+1</f>
        <v/>
      </c>
    </row>
    <row r="93" ht="14.25" customHeight="1" s="68">
      <c r="A93" s="107" t="inlineStr">
        <is>
          <t>Floración</t>
        </is>
      </c>
      <c r="B93" s="108" t="n">
        <v>63</v>
      </c>
      <c r="C93" s="109">
        <f>IF(C92="","",C92+B92)</f>
        <v/>
      </c>
    </row>
    <row r="94" ht="14.25" customHeight="1" s="68">
      <c r="A94" s="110" t="inlineStr">
        <is>
          <t>Corte</t>
        </is>
      </c>
      <c r="B94" s="111" t="n">
        <v>2</v>
      </c>
      <c r="C94" s="112">
        <f>IF(C93="","",C93+B93)</f>
        <v/>
      </c>
    </row>
    <row r="95" ht="14.25" customHeight="1" s="68">
      <c r="A95" s="107" t="inlineStr">
        <is>
          <t>Secado</t>
        </is>
      </c>
      <c r="B95" s="108" t="n">
        <v>7</v>
      </c>
      <c r="C95" s="109">
        <f>IF(C94="","",C94+B94)</f>
        <v/>
      </c>
    </row>
    <row r="96" ht="14.25" customHeight="1" s="68">
      <c r="A96" s="110" t="inlineStr">
        <is>
          <t>Procesado</t>
        </is>
      </c>
      <c r="B96" s="111" t="n">
        <v>3</v>
      </c>
      <c r="C96" s="112">
        <f>IF(C95="","",C95+B95)</f>
        <v/>
      </c>
    </row>
    <row r="97" ht="14.25" customHeight="1" s="68">
      <c r="A97" s="107" t="inlineStr">
        <is>
          <t>Disponible</t>
        </is>
      </c>
      <c r="B97" s="108" t="n"/>
      <c r="C97" s="109">
        <f>IF(C96="","",C96+B96)</f>
        <v/>
      </c>
    </row>
    <row r="98" ht="14.25" customHeight="1" s="68">
      <c r="A98" s="114" t="n"/>
      <c r="B98" s="114" t="n"/>
      <c r="C98" s="114" t="n"/>
    </row>
    <row r="99" ht="14.25" customHeight="1" s="68">
      <c r="A99" s="115" t="inlineStr">
        <is>
          <t>VARIEDADES</t>
        </is>
      </c>
      <c r="B99" s="116" t="inlineStr">
        <is>
          <t>Cant.</t>
        </is>
      </c>
      <c r="C99" s="114" t="n"/>
    </row>
    <row r="100" ht="14.25" customHeight="1" s="68">
      <c r="A100" s="93" t="n"/>
      <c r="B100" s="75" t="n"/>
      <c r="C100" s="114" t="n"/>
    </row>
    <row r="101" ht="14.25" customHeight="1" s="68">
      <c r="A101" s="93" t="n"/>
      <c r="B101" s="75" t="n"/>
      <c r="C101" s="114" t="n"/>
    </row>
    <row r="102" ht="14.25" customHeight="1" s="68">
      <c r="A102" s="117" t="inlineStr">
        <is>
          <t>TOTAL</t>
        </is>
      </c>
      <c r="B102" s="86">
        <f>SUM(B100:B101)</f>
        <v/>
      </c>
      <c r="C102" s="114" t="n"/>
    </row>
    <row r="103" ht="14.25" customHeight="1" s="68">
      <c r="A103" s="114" t="n"/>
      <c r="B103" s="114" t="n"/>
      <c r="C103" s="114" t="n"/>
    </row>
    <row r="104" ht="14.25" customHeight="1" s="68">
      <c r="A104" s="118" t="inlineStr">
        <is>
          <t>Observaciones:</t>
        </is>
      </c>
      <c r="B104" s="103" t="n"/>
      <c r="C104" s="103" t="n"/>
      <c r="D104" s="103" t="n"/>
      <c r="E104" s="103" t="n"/>
      <c r="F104" s="103" t="n"/>
    </row>
    <row r="105" ht="76.5" customHeight="1" s="68">
      <c r="A105" s="119" t="n"/>
      <c r="B105" s="120" t="n"/>
      <c r="C105" s="120" t="n"/>
      <c r="D105" s="120" t="n"/>
      <c r="E105" s="120" t="n"/>
      <c r="F105" s="120" t="n"/>
    </row>
    <row r="106" ht="14.25" customHeight="1" s="68">
      <c r="A106" s="121" t="n"/>
      <c r="B106" s="122" t="n"/>
      <c r="C106" s="122" t="n"/>
      <c r="D106" s="122" t="n"/>
      <c r="E106" s="122" t="n"/>
      <c r="F106" s="122" t="n"/>
    </row>
    <row r="107" ht="14.25" customHeight="1" s="68">
      <c r="A107" s="114" t="n"/>
      <c r="B107" s="114" t="n"/>
      <c r="C107" s="114" t="n"/>
    </row>
  </sheetData>
  <mergeCells count="17">
    <mergeCell ref="A24:F24"/>
    <mergeCell ref="A41:F41"/>
    <mergeCell ref="A105:F106"/>
    <mergeCell ref="H1:M1"/>
    <mergeCell ref="A63:F64"/>
    <mergeCell ref="A66:F66"/>
    <mergeCell ref="A1:F1"/>
    <mergeCell ref="A21:F22"/>
    <mergeCell ref="A45:F45"/>
    <mergeCell ref="A87:F87"/>
    <mergeCell ref="A83:F83"/>
    <mergeCell ref="A62:F62"/>
    <mergeCell ref="A3:F3"/>
    <mergeCell ref="A42:F43"/>
    <mergeCell ref="A20:F20"/>
    <mergeCell ref="A104:F104"/>
    <mergeCell ref="A84:F8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07"/>
  <sheetViews>
    <sheetView showFormulas="0" showGridLines="0" showRowColHeaders="1" showZeros="1" rightToLeft="0" tabSelected="0" showOutlineSymbols="1" defaultGridColor="1" view="normal" topLeftCell="A40" colorId="64" zoomScale="100" zoomScaleNormal="100" zoomScalePageLayoutView="100" workbookViewId="0">
      <selection pane="topLeft" activeCell="B95" activeCellId="0" sqref="B95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SALA 2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46184</v>
      </c>
      <c r="I3" s="82" t="n">
        <v>6.2</v>
      </c>
      <c r="J3" s="82" t="n">
        <v>2300</v>
      </c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Esquejes</t>
        </is>
      </c>
      <c r="B5" s="105" t="n">
        <v>21</v>
      </c>
      <c r="C5" s="106" t="n">
        <v>46081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a Vaso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Trasplante Maceta</t>
        </is>
      </c>
      <c r="B7" s="105" t="n">
        <v>14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4" t="inlineStr">
        <is>
          <t>Ingreso a Sala</t>
        </is>
      </c>
      <c r="B8" s="105" t="n">
        <v>16</v>
      </c>
      <c r="C8" s="106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4" t="inlineStr">
        <is>
          <t>Floración</t>
        </is>
      </c>
      <c r="B9" s="105" t="n">
        <v>63</v>
      </c>
      <c r="C9" s="106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Corte</t>
        </is>
      </c>
      <c r="B10" s="111" t="n">
        <v>3</v>
      </c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07" t="inlineStr">
        <is>
          <t>Secado</t>
        </is>
      </c>
      <c r="B11" s="108" t="n">
        <v>7</v>
      </c>
      <c r="C11" s="109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0" t="inlineStr">
        <is>
          <t>Procesado</t>
        </is>
      </c>
      <c r="B12" s="111" t="n">
        <v>3</v>
      </c>
      <c r="C12" s="112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7" t="inlineStr">
        <is>
          <t>Disponible</t>
        </is>
      </c>
      <c r="B13" s="108" t="n"/>
      <c r="C13" s="113">
        <f>IF(C12="","",C12+B12)</f>
        <v/>
      </c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Guava</t>
        </is>
      </c>
      <c r="B16" s="75" t="n">
        <v>30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93" t="inlineStr">
        <is>
          <t>Mix</t>
        </is>
      </c>
      <c r="B17" s="75" t="n">
        <v>10</v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17" t="inlineStr">
        <is>
          <t>TOTAL</t>
        </is>
      </c>
      <c r="B18" s="86">
        <f>SUM(B16:B17)</f>
        <v/>
      </c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4" t="n"/>
      <c r="B19" s="114" t="n"/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4.25" customHeight="1" s="68">
      <c r="A20" s="118" t="inlineStr">
        <is>
          <t>Observaciones:</t>
        </is>
      </c>
      <c r="B20" s="103" t="n"/>
      <c r="C20" s="103" t="n"/>
      <c r="D20" s="103" t="n"/>
      <c r="E20" s="103" t="n"/>
      <c r="F20" s="103" t="n"/>
      <c r="H20" s="81" t="n"/>
      <c r="I20" s="82" t="n"/>
      <c r="J20" s="82" t="n"/>
      <c r="K20" s="82" t="n"/>
      <c r="L20" s="82" t="n"/>
      <c r="M20" s="75" t="n"/>
      <c r="N20" s="82" t="n"/>
    </row>
    <row r="21" ht="39.75" customHeight="1" s="68">
      <c r="A21" s="119" t="n"/>
      <c r="B21" s="120" t="n"/>
      <c r="C21" s="120" t="n"/>
      <c r="D21" s="120" t="n"/>
      <c r="E21" s="120" t="n"/>
      <c r="F21" s="120" t="n"/>
      <c r="H21" s="81" t="n"/>
      <c r="I21" s="82" t="n"/>
      <c r="J21" s="82" t="n"/>
      <c r="K21" s="82" t="n"/>
      <c r="L21" s="82" t="n"/>
      <c r="M21" s="75" t="n"/>
      <c r="N21" s="82" t="n"/>
    </row>
    <row r="22" ht="14.25" customHeight="1" s="68">
      <c r="A22" s="121" t="n"/>
      <c r="B22" s="122" t="n"/>
      <c r="C22" s="122" t="n"/>
      <c r="D22" s="122" t="n"/>
      <c r="E22" s="122" t="n"/>
      <c r="F22" s="122" t="n"/>
      <c r="H22" s="81" t="n"/>
      <c r="I22" s="82" t="n"/>
      <c r="J22" s="82" t="n"/>
      <c r="K22" s="82" t="n"/>
      <c r="L22" s="82" t="n"/>
      <c r="M22" s="75" t="n"/>
      <c r="N22" s="82" t="n"/>
    </row>
    <row r="23" ht="14.25" customHeight="1" s="68">
      <c r="A23" s="114" t="n"/>
      <c r="B23" s="114" t="n"/>
      <c r="C23" s="114" t="n"/>
      <c r="H23" s="81" t="n"/>
      <c r="I23" s="82" t="n"/>
      <c r="J23" s="82" t="n"/>
      <c r="K23" s="82" t="n"/>
      <c r="L23" s="82" t="n"/>
      <c r="M23" s="75" t="n"/>
      <c r="N23" s="82" t="n"/>
    </row>
    <row r="24" ht="19.5" customHeight="1" s="68">
      <c r="A24" s="102" t="inlineStr">
        <is>
          <t>CICLO 2</t>
        </is>
      </c>
      <c r="B24" s="103" t="n"/>
      <c r="C24" s="103" t="n"/>
      <c r="D24" s="103" t="n"/>
      <c r="E24" s="103" t="n"/>
      <c r="F24" s="103" t="n"/>
      <c r="H24" s="81" t="n"/>
      <c r="I24" s="82" t="n"/>
      <c r="J24" s="82" t="n"/>
      <c r="K24" s="82" t="n"/>
      <c r="L24" s="82" t="n"/>
      <c r="M24" s="75" t="n"/>
      <c r="N24" s="82" t="n"/>
    </row>
    <row r="25" ht="14.25" customHeight="1" s="68">
      <c r="A25" s="86" t="inlineStr">
        <is>
          <t>Etapa</t>
        </is>
      </c>
      <c r="B25" s="86" t="inlineStr">
        <is>
          <t>Días</t>
        </is>
      </c>
      <c r="C25" s="86" t="inlineStr">
        <is>
          <t>Fecha Inicio</t>
        </is>
      </c>
      <c r="H25" s="81" t="n"/>
      <c r="I25" s="82" t="n"/>
      <c r="J25" s="82" t="n"/>
      <c r="K25" s="82" t="n"/>
      <c r="L25" s="82" t="n"/>
      <c r="M25" s="75" t="n"/>
      <c r="N25" s="82" t="n"/>
    </row>
    <row r="26" ht="14.25" customHeight="1" s="68">
      <c r="A26" s="107" t="inlineStr">
        <is>
          <t>Esquejes</t>
        </is>
      </c>
      <c r="B26" s="108" t="n">
        <v>21</v>
      </c>
      <c r="C26" s="94" t="n"/>
      <c r="H26" s="81" t="n"/>
      <c r="I26" s="82" t="n"/>
      <c r="J26" s="82" t="n"/>
      <c r="K26" s="82" t="n"/>
      <c r="L26" s="82" t="n"/>
      <c r="M26" s="75" t="n"/>
      <c r="N26" s="82" t="n"/>
    </row>
    <row r="27" ht="14.25" customHeight="1" s="68">
      <c r="A27" s="110" t="inlineStr">
        <is>
          <t>Trasplante a Vaso</t>
        </is>
      </c>
      <c r="B27" s="111" t="n">
        <v>14</v>
      </c>
      <c r="C27" s="112" t="n"/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107" t="inlineStr">
        <is>
          <t>Trasplante Maceta</t>
        </is>
      </c>
      <c r="B28" s="108" t="n">
        <v>14</v>
      </c>
      <c r="C28" s="109" t="n"/>
    </row>
    <row r="29" ht="14.25" customHeight="1" s="68">
      <c r="A29" s="110" t="inlineStr">
        <is>
          <t>Ingreso a Sala</t>
        </is>
      </c>
      <c r="B29" s="111" t="n">
        <v>16</v>
      </c>
      <c r="C29" s="112">
        <f>C12+1</f>
        <v/>
      </c>
    </row>
    <row r="30" ht="14.25" customHeight="1" s="68">
      <c r="A30" s="107" t="inlineStr">
        <is>
          <t>Floración</t>
        </is>
      </c>
      <c r="B30" s="108" t="n">
        <v>63</v>
      </c>
      <c r="C30" s="109">
        <f>IF(C29="","",C29+B29)</f>
        <v/>
      </c>
    </row>
    <row r="31" ht="14.25" customHeight="1" s="68">
      <c r="A31" s="110" t="inlineStr">
        <is>
          <t>Corte</t>
        </is>
      </c>
      <c r="B31" s="111" t="n">
        <v>3</v>
      </c>
      <c r="C31" s="112">
        <f>IF(C30="","",C30+B30)</f>
        <v/>
      </c>
    </row>
    <row r="32" ht="14.25" customHeight="1" s="68">
      <c r="A32" s="107" t="inlineStr">
        <is>
          <t>Secado</t>
        </is>
      </c>
      <c r="B32" s="108" t="n">
        <v>7</v>
      </c>
      <c r="C32" s="109">
        <f>IF(C31="","",C31+B31)</f>
        <v/>
      </c>
    </row>
    <row r="33" ht="14.25" customHeight="1" s="68">
      <c r="A33" s="110" t="inlineStr">
        <is>
          <t>Procesado</t>
        </is>
      </c>
      <c r="B33" s="111" t="n">
        <v>3</v>
      </c>
      <c r="C33" s="112">
        <f>IF(C32="","",C32+B32)</f>
        <v/>
      </c>
    </row>
    <row r="34" ht="14.25" customHeight="1" s="68">
      <c r="A34" s="107" t="inlineStr">
        <is>
          <t>Disponible</t>
        </is>
      </c>
      <c r="B34" s="108" t="n"/>
      <c r="C34" s="113">
        <f>IF(C33="","",C33+B33)</f>
        <v/>
      </c>
    </row>
    <row r="35" ht="14.25" customHeight="1" s="68">
      <c r="A35" s="114" t="n"/>
      <c r="B35" s="114" t="n"/>
      <c r="C35" s="114" t="n"/>
    </row>
    <row r="36" ht="14.25" customHeight="1" s="68">
      <c r="A36" s="115" t="inlineStr">
        <is>
          <t>VARIEDADES</t>
        </is>
      </c>
      <c r="B36" s="116" t="inlineStr">
        <is>
          <t>Cant.</t>
        </is>
      </c>
      <c r="C36" s="114" t="n"/>
    </row>
    <row r="37" ht="14.25" customHeight="1" s="68">
      <c r="A37" s="93" t="n"/>
      <c r="B37" s="75" t="n"/>
      <c r="C37" s="114" t="n"/>
    </row>
    <row r="38" ht="14.25" customHeight="1" s="68">
      <c r="A38" s="93" t="n"/>
      <c r="B38" s="75" t="n"/>
      <c r="C38" s="114" t="n"/>
    </row>
    <row r="39" ht="14.25" customHeight="1" s="68">
      <c r="A39" s="117" t="inlineStr">
        <is>
          <t>TOTAL</t>
        </is>
      </c>
      <c r="B39" s="86">
        <f>SUM(B37:B38)</f>
        <v/>
      </c>
      <c r="C39" s="114" t="n"/>
    </row>
    <row r="40" ht="14.25" customHeight="1" s="68">
      <c r="A40" s="114" t="n"/>
      <c r="B40" s="114" t="n"/>
      <c r="C40" s="114" t="n"/>
    </row>
    <row r="41" ht="14.25" customHeight="1" s="68">
      <c r="A41" s="118" t="inlineStr">
        <is>
          <t>Observaciones:</t>
        </is>
      </c>
      <c r="B41" s="103" t="n"/>
      <c r="C41" s="103" t="n"/>
      <c r="D41" s="103" t="n"/>
      <c r="E41" s="103" t="n"/>
      <c r="F41" s="103" t="n"/>
    </row>
    <row r="42" ht="39.75" customHeight="1" s="68">
      <c r="A42" s="119" t="n"/>
      <c r="B42" s="120" t="n"/>
      <c r="C42" s="120" t="n"/>
      <c r="D42" s="120" t="n"/>
      <c r="E42" s="120" t="n"/>
      <c r="F42" s="120" t="n"/>
    </row>
    <row r="43" ht="14.25" customHeight="1" s="68">
      <c r="A43" s="121" t="n"/>
      <c r="B43" s="122" t="n"/>
      <c r="C43" s="122" t="n"/>
      <c r="D43" s="122" t="n"/>
      <c r="E43" s="122" t="n"/>
      <c r="F43" s="122" t="n"/>
    </row>
    <row r="44" ht="14.25" customHeight="1" s="68">
      <c r="A44" s="114" t="n"/>
      <c r="B44" s="114" t="n"/>
      <c r="C44" s="114" t="n"/>
    </row>
    <row r="45" ht="19.5" customHeight="1" s="68">
      <c r="A45" s="102" t="inlineStr">
        <is>
          <t>CICLO 3</t>
        </is>
      </c>
      <c r="B45" s="103" t="n"/>
      <c r="C45" s="103" t="n"/>
      <c r="D45" s="103" t="n"/>
      <c r="E45" s="103" t="n"/>
      <c r="F45" s="103" t="n"/>
    </row>
    <row r="46" ht="14.25" customHeight="1" s="68">
      <c r="A46" s="86" t="inlineStr">
        <is>
          <t>Etapa</t>
        </is>
      </c>
      <c r="B46" s="86" t="inlineStr">
        <is>
          <t>Días</t>
        </is>
      </c>
      <c r="C46" s="86" t="inlineStr">
        <is>
          <t>Fecha Inicio</t>
        </is>
      </c>
    </row>
    <row r="47" ht="14.25" customHeight="1" s="68">
      <c r="A47" s="107" t="inlineStr">
        <is>
          <t>Esquejes</t>
        </is>
      </c>
      <c r="B47" s="108" t="n">
        <v>21</v>
      </c>
      <c r="C47" s="94" t="n"/>
    </row>
    <row r="48" ht="14.25" customHeight="1" s="68">
      <c r="A48" s="110" t="inlineStr">
        <is>
          <t>Trasplante a Vaso</t>
        </is>
      </c>
      <c r="B48" s="111" t="n">
        <v>14</v>
      </c>
      <c r="C48" s="112" t="n"/>
    </row>
    <row r="49" ht="14.25" customHeight="1" s="68">
      <c r="A49" s="107" t="inlineStr">
        <is>
          <t>Trasplante Maceta</t>
        </is>
      </c>
      <c r="B49" s="108" t="n">
        <v>14</v>
      </c>
      <c r="C49" s="109" t="n"/>
    </row>
    <row r="50" ht="14.25" customHeight="1" s="68">
      <c r="A50" s="110" t="inlineStr">
        <is>
          <t>Ingreso a Sala</t>
        </is>
      </c>
      <c r="B50" s="111" t="n">
        <v>16</v>
      </c>
      <c r="C50" s="112">
        <f>C33+1</f>
        <v/>
      </c>
    </row>
    <row r="51" ht="14.25" customHeight="1" s="68">
      <c r="A51" s="107" t="inlineStr">
        <is>
          <t>Floración</t>
        </is>
      </c>
      <c r="B51" s="108" t="n">
        <v>63</v>
      </c>
      <c r="C51" s="109">
        <f>IF(C50="","",C50+B50)</f>
        <v/>
      </c>
    </row>
    <row r="52" ht="14.25" customHeight="1" s="68">
      <c r="A52" s="110" t="inlineStr">
        <is>
          <t>Corte</t>
        </is>
      </c>
      <c r="B52" s="111" t="n">
        <v>3</v>
      </c>
      <c r="C52" s="112">
        <f>IF(C51="","",C51+B51)</f>
        <v/>
      </c>
    </row>
    <row r="53" ht="14.25" customHeight="1" s="68">
      <c r="A53" s="107" t="inlineStr">
        <is>
          <t>Secado</t>
        </is>
      </c>
      <c r="B53" s="108" t="n">
        <v>7</v>
      </c>
      <c r="C53" s="109">
        <f>IF(C52="","",C52+B52)</f>
        <v/>
      </c>
    </row>
    <row r="54" ht="14.25" customHeight="1" s="68">
      <c r="A54" s="110" t="inlineStr">
        <is>
          <t>Procesado</t>
        </is>
      </c>
      <c r="B54" s="111" t="n">
        <v>3</v>
      </c>
      <c r="C54" s="112">
        <f>IF(C53="","",C53+B53)</f>
        <v/>
      </c>
    </row>
    <row r="55" ht="14.25" customHeight="1" s="68">
      <c r="A55" s="107" t="inlineStr">
        <is>
          <t>Disponible</t>
        </is>
      </c>
      <c r="B55" s="108" t="n"/>
      <c r="C55" s="109">
        <f>IF(C54="","",C54+B54)</f>
        <v/>
      </c>
    </row>
    <row r="56" ht="14.25" customHeight="1" s="68">
      <c r="A56" s="114" t="n"/>
      <c r="B56" s="114" t="n"/>
      <c r="C56" s="114" t="n"/>
    </row>
    <row r="57" ht="14.25" customHeight="1" s="68">
      <c r="A57" s="115" t="inlineStr">
        <is>
          <t>VARIEDADES</t>
        </is>
      </c>
      <c r="B57" s="116" t="inlineStr">
        <is>
          <t>Cant.</t>
        </is>
      </c>
      <c r="C57" s="114" t="n"/>
    </row>
    <row r="58" ht="14.25" customHeight="1" s="68">
      <c r="A58" s="93" t="n"/>
      <c r="B58" s="75" t="n"/>
      <c r="C58" s="114" t="n"/>
    </row>
    <row r="59" ht="14.25" customHeight="1" s="68">
      <c r="A59" s="93" t="n"/>
      <c r="B59" s="75" t="n"/>
      <c r="C59" s="114" t="n"/>
    </row>
    <row r="60" ht="14.25" customHeight="1" s="68">
      <c r="A60" s="117" t="inlineStr">
        <is>
          <t>TOTAL</t>
        </is>
      </c>
      <c r="B60" s="86">
        <f>SUM(B58:B59)</f>
        <v/>
      </c>
      <c r="C60" s="114" t="n"/>
    </row>
    <row r="61" ht="14.25" customHeight="1" s="68">
      <c r="A61" s="114" t="n"/>
      <c r="B61" s="114" t="n"/>
      <c r="C61" s="114" t="n"/>
    </row>
    <row r="62" ht="14.25" customHeight="1" s="68">
      <c r="A62" s="118" t="inlineStr">
        <is>
          <t>Observaciones:</t>
        </is>
      </c>
      <c r="B62" s="103" t="n"/>
      <c r="C62" s="103" t="n"/>
      <c r="D62" s="103" t="n"/>
      <c r="E62" s="103" t="n"/>
      <c r="F62" s="103" t="n"/>
    </row>
    <row r="63" ht="39.75" customHeight="1" s="68">
      <c r="A63" s="119" t="n"/>
      <c r="B63" s="120" t="n"/>
      <c r="C63" s="120" t="n"/>
      <c r="D63" s="120" t="n"/>
      <c r="E63" s="120" t="n"/>
      <c r="F63" s="120" t="n"/>
    </row>
    <row r="64" ht="14.25" customHeight="1" s="68">
      <c r="A64" s="121" t="n"/>
      <c r="B64" s="122" t="n"/>
      <c r="C64" s="122" t="n"/>
      <c r="D64" s="122" t="n"/>
      <c r="E64" s="122" t="n"/>
      <c r="F64" s="122" t="n"/>
    </row>
    <row r="65" ht="14.25" customHeight="1" s="68">
      <c r="A65" s="114" t="n"/>
      <c r="B65" s="114" t="n"/>
      <c r="C65" s="114" t="n"/>
    </row>
    <row r="66" ht="19.5" customHeight="1" s="68">
      <c r="A66" s="102" t="inlineStr">
        <is>
          <t>CICLO 4</t>
        </is>
      </c>
      <c r="B66" s="103" t="n"/>
      <c r="C66" s="103" t="n"/>
      <c r="D66" s="103" t="n"/>
      <c r="E66" s="103" t="n"/>
      <c r="F66" s="103" t="n"/>
    </row>
    <row r="67" ht="14.25" customHeight="1" s="68">
      <c r="A67" s="86" t="inlineStr">
        <is>
          <t>Etapa</t>
        </is>
      </c>
      <c r="B67" s="86" t="inlineStr">
        <is>
          <t>Días</t>
        </is>
      </c>
      <c r="C67" s="86" t="inlineStr">
        <is>
          <t>Fecha Inicio</t>
        </is>
      </c>
    </row>
    <row r="68" ht="14.25" customHeight="1" s="68">
      <c r="A68" s="107" t="inlineStr">
        <is>
          <t>Esquejes</t>
        </is>
      </c>
      <c r="B68" s="108" t="n">
        <v>21</v>
      </c>
      <c r="C68" s="94" t="n"/>
    </row>
    <row r="69" ht="14.25" customHeight="1" s="68">
      <c r="A69" s="110" t="inlineStr">
        <is>
          <t>Trasplante a Vaso</t>
        </is>
      </c>
      <c r="B69" s="111" t="n">
        <v>14</v>
      </c>
      <c r="C69" s="112" t="n"/>
    </row>
    <row r="70" ht="14.25" customHeight="1" s="68">
      <c r="A70" s="107" t="inlineStr">
        <is>
          <t>Trasplante Maceta</t>
        </is>
      </c>
      <c r="B70" s="108" t="n">
        <v>14</v>
      </c>
      <c r="C70" s="109" t="n"/>
    </row>
    <row r="71" ht="14.25" customHeight="1" s="68">
      <c r="A71" s="110" t="inlineStr">
        <is>
          <t>Ingreso a Sala</t>
        </is>
      </c>
      <c r="B71" s="111" t="n">
        <v>16</v>
      </c>
      <c r="C71" s="112">
        <f>C54+1</f>
        <v/>
      </c>
    </row>
    <row r="72" ht="14.25" customHeight="1" s="68">
      <c r="A72" s="107" t="inlineStr">
        <is>
          <t>Floración</t>
        </is>
      </c>
      <c r="B72" s="108" t="n">
        <v>63</v>
      </c>
      <c r="C72" s="109">
        <f>IF(C71="","",C71+B71)</f>
        <v/>
      </c>
    </row>
    <row r="73" ht="14.25" customHeight="1" s="68">
      <c r="A73" s="110" t="inlineStr">
        <is>
          <t>Corte</t>
        </is>
      </c>
      <c r="B73" s="111" t="n">
        <v>3</v>
      </c>
      <c r="C73" s="112">
        <f>IF(C72="","",C72+B72)</f>
        <v/>
      </c>
    </row>
    <row r="74" ht="14.25" customHeight="1" s="68">
      <c r="A74" s="107" t="inlineStr">
        <is>
          <t>Secado</t>
        </is>
      </c>
      <c r="B74" s="108" t="n">
        <v>7</v>
      </c>
      <c r="C74" s="109">
        <f>IF(C73="","",C73+B73)</f>
        <v/>
      </c>
    </row>
    <row r="75" ht="14.25" customHeight="1" s="68">
      <c r="A75" s="110" t="inlineStr">
        <is>
          <t>Procesado</t>
        </is>
      </c>
      <c r="B75" s="111" t="n">
        <v>3</v>
      </c>
      <c r="C75" s="112">
        <f>IF(C74="","",C74+B74)</f>
        <v/>
      </c>
    </row>
    <row r="76" ht="14.25" customHeight="1" s="68">
      <c r="A76" s="107" t="inlineStr">
        <is>
          <t>Disponible</t>
        </is>
      </c>
      <c r="B76" s="108" t="n"/>
      <c r="C76" s="113">
        <f>IF(C75="","",C75+B75)</f>
        <v/>
      </c>
    </row>
    <row r="77" ht="14.25" customHeight="1" s="68">
      <c r="A77" s="114" t="n"/>
      <c r="B77" s="114" t="n"/>
      <c r="C77" s="114" t="n"/>
    </row>
    <row r="78" ht="14.25" customHeight="1" s="68">
      <c r="A78" s="115" t="inlineStr">
        <is>
          <t>VARIEDADES</t>
        </is>
      </c>
      <c r="B78" s="116" t="inlineStr">
        <is>
          <t>Cant.</t>
        </is>
      </c>
      <c r="C78" s="114" t="n"/>
    </row>
    <row r="79" ht="14.25" customHeight="1" s="68">
      <c r="A79" s="93" t="n"/>
      <c r="B79" s="75" t="n"/>
      <c r="C79" s="114" t="n"/>
    </row>
    <row r="80" ht="14.25" customHeight="1" s="68">
      <c r="A80" s="93" t="n"/>
      <c r="B80" s="75" t="n"/>
      <c r="C80" s="114" t="n"/>
    </row>
    <row r="81" ht="14.25" customHeight="1" s="68">
      <c r="A81" s="117" t="inlineStr">
        <is>
          <t>TOTAL</t>
        </is>
      </c>
      <c r="B81" s="86">
        <f>SUM(B79:B80)</f>
        <v/>
      </c>
      <c r="C81" s="114" t="n"/>
    </row>
    <row r="82" ht="14.25" customHeight="1" s="68">
      <c r="A82" s="114" t="n"/>
      <c r="B82" s="114" t="n"/>
      <c r="C82" s="114" t="n"/>
    </row>
    <row r="83" ht="14.25" customHeight="1" s="68">
      <c r="A83" s="118" t="inlineStr">
        <is>
          <t>Observaciones:</t>
        </is>
      </c>
      <c r="B83" s="103" t="n"/>
      <c r="C83" s="103" t="n"/>
      <c r="D83" s="103" t="n"/>
      <c r="E83" s="103" t="n"/>
      <c r="F83" s="103" t="n"/>
    </row>
    <row r="84" ht="39.75" customHeight="1" s="68">
      <c r="A84" s="119" t="n"/>
      <c r="B84" s="120" t="n"/>
      <c r="C84" s="120" t="n"/>
      <c r="D84" s="120" t="n"/>
      <c r="E84" s="120" t="n"/>
      <c r="F84" s="120" t="n"/>
    </row>
    <row r="85" ht="14.25" customHeight="1" s="68">
      <c r="A85" s="121" t="n"/>
      <c r="B85" s="122" t="n"/>
      <c r="C85" s="122" t="n"/>
      <c r="D85" s="122" t="n"/>
      <c r="E85" s="122" t="n"/>
      <c r="F85" s="122" t="n"/>
    </row>
    <row r="86" ht="14.25" customHeight="1" s="68">
      <c r="A86" s="114" t="n"/>
      <c r="B86" s="114" t="n"/>
      <c r="C86" s="114" t="n"/>
    </row>
    <row r="87" ht="19.5" customHeight="1" s="68">
      <c r="A87" s="102" t="inlineStr">
        <is>
          <t>CICLO 5</t>
        </is>
      </c>
      <c r="B87" s="103" t="n"/>
      <c r="C87" s="103" t="n"/>
      <c r="D87" s="103" t="n"/>
      <c r="E87" s="103" t="n"/>
      <c r="F87" s="103" t="n"/>
    </row>
    <row r="88" ht="14.25" customHeight="1" s="68">
      <c r="A88" s="86" t="inlineStr">
        <is>
          <t>Etapa</t>
        </is>
      </c>
      <c r="B88" s="86" t="inlineStr">
        <is>
          <t>Días</t>
        </is>
      </c>
      <c r="C88" s="86" t="inlineStr">
        <is>
          <t>Fecha Inicio</t>
        </is>
      </c>
    </row>
    <row r="89" ht="14.25" customHeight="1" s="68">
      <c r="A89" s="107" t="inlineStr">
        <is>
          <t>Esquejes</t>
        </is>
      </c>
      <c r="B89" s="108" t="n">
        <v>21</v>
      </c>
      <c r="C89" s="94" t="n"/>
    </row>
    <row r="90" ht="14.25" customHeight="1" s="68">
      <c r="A90" s="110" t="inlineStr">
        <is>
          <t>Trasplante a Vaso</t>
        </is>
      </c>
      <c r="B90" s="111" t="n">
        <v>14</v>
      </c>
      <c r="C90" s="112" t="n"/>
    </row>
    <row r="91" ht="14.25" customHeight="1" s="68">
      <c r="A91" s="107" t="inlineStr">
        <is>
          <t>Trasplante Maceta</t>
        </is>
      </c>
      <c r="B91" s="108" t="n">
        <v>14</v>
      </c>
      <c r="C91" s="109" t="n"/>
    </row>
    <row r="92" ht="14.25" customHeight="1" s="68">
      <c r="A92" s="110" t="inlineStr">
        <is>
          <t>Ingreso a Sala</t>
        </is>
      </c>
      <c r="B92" s="111" t="n">
        <v>16</v>
      </c>
      <c r="C92" s="112">
        <f>C75+1</f>
        <v/>
      </c>
    </row>
    <row r="93" ht="14.25" customHeight="1" s="68">
      <c r="A93" s="107" t="inlineStr">
        <is>
          <t>Floración</t>
        </is>
      </c>
      <c r="B93" s="108" t="n">
        <v>63</v>
      </c>
      <c r="C93" s="109">
        <f>IF(C92="","",C92+B92)</f>
        <v/>
      </c>
    </row>
    <row r="94" ht="14.25" customHeight="1" s="68">
      <c r="A94" s="110" t="inlineStr">
        <is>
          <t>Corte</t>
        </is>
      </c>
      <c r="B94" s="111" t="n">
        <v>3</v>
      </c>
      <c r="C94" s="112">
        <f>IF(C93="","",C93+B93)</f>
        <v/>
      </c>
    </row>
    <row r="95" ht="14.25" customHeight="1" s="68">
      <c r="A95" s="107" t="inlineStr">
        <is>
          <t>Secado</t>
        </is>
      </c>
      <c r="B95" s="108" t="n">
        <v>7</v>
      </c>
      <c r="C95" s="109">
        <f>IF(C94="","",C94+B94)</f>
        <v/>
      </c>
    </row>
    <row r="96" ht="14.25" customHeight="1" s="68">
      <c r="A96" s="110" t="inlineStr">
        <is>
          <t>Procesado</t>
        </is>
      </c>
      <c r="B96" s="111" t="n">
        <v>3</v>
      </c>
      <c r="C96" s="112">
        <f>IF(C95="","",C95+B95)</f>
        <v/>
      </c>
    </row>
    <row r="97" ht="14.25" customHeight="1" s="68">
      <c r="A97" s="107" t="inlineStr">
        <is>
          <t>Disponible</t>
        </is>
      </c>
      <c r="B97" s="108" t="n"/>
      <c r="C97" s="113">
        <f>IF(C96="","",C96+B96)</f>
        <v/>
      </c>
    </row>
    <row r="98" ht="14.25" customHeight="1" s="68">
      <c r="A98" s="114" t="n"/>
      <c r="B98" s="114" t="n"/>
      <c r="C98" s="114" t="n"/>
    </row>
    <row r="99" ht="14.25" customHeight="1" s="68">
      <c r="A99" s="115" t="inlineStr">
        <is>
          <t>VARIEDADES</t>
        </is>
      </c>
      <c r="B99" s="116" t="inlineStr">
        <is>
          <t>Cant.</t>
        </is>
      </c>
      <c r="C99" s="114" t="n"/>
    </row>
    <row r="100" ht="14.25" customHeight="1" s="68">
      <c r="A100" s="93" t="n"/>
      <c r="B100" s="75" t="n"/>
      <c r="C100" s="114" t="n"/>
    </row>
    <row r="101" ht="14.25" customHeight="1" s="68">
      <c r="A101" s="93" t="n"/>
      <c r="B101" s="75" t="n"/>
      <c r="C101" s="114" t="n"/>
    </row>
    <row r="102" ht="14.25" customHeight="1" s="68">
      <c r="A102" s="117" t="inlineStr">
        <is>
          <t>TOTAL</t>
        </is>
      </c>
      <c r="B102" s="86">
        <f>SUM(B100:B101)</f>
        <v/>
      </c>
      <c r="C102" s="114" t="n"/>
    </row>
    <row r="103" ht="14.25" customHeight="1" s="68">
      <c r="A103" s="114" t="n"/>
      <c r="B103" s="114" t="n"/>
      <c r="C103" s="114" t="n"/>
    </row>
    <row r="104" ht="14.25" customHeight="1" s="68">
      <c r="A104" s="118" t="inlineStr">
        <is>
          <t>Observaciones:</t>
        </is>
      </c>
      <c r="B104" s="103" t="n"/>
      <c r="C104" s="103" t="n"/>
      <c r="D104" s="103" t="n"/>
      <c r="E104" s="103" t="n"/>
      <c r="F104" s="103" t="n"/>
    </row>
    <row r="105" ht="39.75" customHeight="1" s="68">
      <c r="A105" s="119" t="n"/>
      <c r="B105" s="120" t="n"/>
      <c r="C105" s="120" t="n"/>
      <c r="D105" s="120" t="n"/>
      <c r="E105" s="120" t="n"/>
      <c r="F105" s="120" t="n"/>
    </row>
    <row r="106" ht="14.25" customHeight="1" s="68">
      <c r="A106" s="121" t="n"/>
      <c r="B106" s="122" t="n"/>
      <c r="C106" s="122" t="n"/>
      <c r="D106" s="122" t="n"/>
      <c r="E106" s="122" t="n"/>
      <c r="F106" s="122" t="n"/>
    </row>
    <row r="107" ht="14.25" customHeight="1" s="68">
      <c r="A107" s="114" t="n"/>
      <c r="B107" s="114" t="n"/>
      <c r="C107" s="114" t="n"/>
    </row>
  </sheetData>
  <mergeCells count="17">
    <mergeCell ref="A24:F24"/>
    <mergeCell ref="A41:F41"/>
    <mergeCell ref="A105:F106"/>
    <mergeCell ref="H1:M1"/>
    <mergeCell ref="A63:F64"/>
    <mergeCell ref="A66:F66"/>
    <mergeCell ref="A1:F1"/>
    <mergeCell ref="A21:F22"/>
    <mergeCell ref="A45:F45"/>
    <mergeCell ref="A87:F87"/>
    <mergeCell ref="A83:F83"/>
    <mergeCell ref="A62:F62"/>
    <mergeCell ref="A3:F3"/>
    <mergeCell ref="A42:F43"/>
    <mergeCell ref="A20:F20"/>
    <mergeCell ref="A104:F104"/>
    <mergeCell ref="A84:F8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09"/>
  <sheetViews>
    <sheetView showFormulas="0" showGridLines="0" showRowColHeaders="1" showZeros="1" rightToLeft="0" tabSelected="0" showOutlineSymbols="1" defaultGridColor="1" view="normal" topLeftCell="A89" colorId="64" zoomScale="100" zoomScaleNormal="100" zoomScalePageLayoutView="100" workbookViewId="0">
      <selection pane="topLeft" activeCell="B55" activeCellId="0" sqref="B55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SALA 3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46184</v>
      </c>
      <c r="I3" s="82" t="n">
        <v>6.1</v>
      </c>
      <c r="J3" s="82" t="n">
        <v>1950</v>
      </c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Esquejes</t>
        </is>
      </c>
      <c r="B5" s="105" t="n">
        <v>21</v>
      </c>
      <c r="C5" s="106" t="n">
        <v>46095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a Vaso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Trasplante Maceta</t>
        </is>
      </c>
      <c r="B7" s="105" t="n">
        <v>14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4" t="inlineStr">
        <is>
          <t>Ingreso a Sala</t>
        </is>
      </c>
      <c r="B8" s="105" t="n">
        <v>16</v>
      </c>
      <c r="C8" s="106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4" t="inlineStr">
        <is>
          <t>Floración</t>
        </is>
      </c>
      <c r="B9" s="105" t="n">
        <v>63</v>
      </c>
      <c r="C9" s="106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Corte</t>
        </is>
      </c>
      <c r="B10" s="111" t="n">
        <v>3</v>
      </c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07" t="inlineStr">
        <is>
          <t>Secado</t>
        </is>
      </c>
      <c r="B11" s="108" t="n">
        <v>7</v>
      </c>
      <c r="C11" s="109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0" t="inlineStr">
        <is>
          <t>Procesado</t>
        </is>
      </c>
      <c r="B12" s="111" t="n">
        <v>3</v>
      </c>
      <c r="C12" s="112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7" t="inlineStr">
        <is>
          <t>Disponible</t>
        </is>
      </c>
      <c r="B13" s="108" t="n"/>
      <c r="C13" s="123">
        <f>IF(C12="","",C12+B12)</f>
        <v/>
      </c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Lemon Cherry</t>
        </is>
      </c>
      <c r="B16" s="75" t="n">
        <v>18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93" t="inlineStr">
        <is>
          <t>Frozen Biscotti #2</t>
        </is>
      </c>
      <c r="B17" s="75" t="n">
        <v>26</v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93" t="inlineStr">
        <is>
          <t>HTT #4</t>
        </is>
      </c>
      <c r="B18" s="75" t="n">
        <v>19</v>
      </c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93" t="inlineStr">
        <is>
          <t>Blue Zushi</t>
        </is>
      </c>
      <c r="B19" s="75" t="n">
        <v>9</v>
      </c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4.25" customHeight="1" s="68">
      <c r="A20" s="117" t="inlineStr">
        <is>
          <t>TOTAL</t>
        </is>
      </c>
      <c r="B20" s="86">
        <f>SUM(B16:B19)</f>
        <v/>
      </c>
      <c r="C20" s="114" t="n"/>
      <c r="H20" s="81" t="n"/>
      <c r="I20" s="82" t="n"/>
      <c r="J20" s="82" t="n"/>
      <c r="K20" s="82" t="n"/>
      <c r="L20" s="82" t="n"/>
      <c r="M20" s="75" t="n"/>
      <c r="N20" s="82" t="n"/>
    </row>
    <row r="21" ht="14.25" customHeight="1" s="68">
      <c r="A21" s="114" t="n"/>
      <c r="B21" s="114" t="n"/>
      <c r="C21" s="114" t="n"/>
      <c r="H21" s="81" t="n"/>
      <c r="I21" s="82" t="n"/>
      <c r="J21" s="82" t="n"/>
      <c r="K21" s="82" t="n"/>
      <c r="L21" s="82" t="n"/>
      <c r="M21" s="75" t="n"/>
      <c r="N21" s="82" t="n"/>
    </row>
    <row r="22" ht="14.25" customHeight="1" s="68">
      <c r="A22" s="118" t="inlineStr">
        <is>
          <t>Observaciones:</t>
        </is>
      </c>
      <c r="B22" s="103" t="n"/>
      <c r="C22" s="103" t="n"/>
      <c r="D22" s="103" t="n"/>
      <c r="E22" s="103" t="n"/>
      <c r="F22" s="103" t="n"/>
      <c r="H22" s="81" t="n"/>
      <c r="I22" s="82" t="n"/>
      <c r="J22" s="82" t="n"/>
      <c r="K22" s="82" t="n"/>
      <c r="L22" s="82" t="n"/>
      <c r="M22" s="75" t="n"/>
      <c r="N22" s="82" t="n"/>
    </row>
    <row r="23" ht="39.75" customHeight="1" s="68">
      <c r="A23" s="119" t="n"/>
      <c r="B23" s="120" t="n"/>
      <c r="C23" s="120" t="n"/>
      <c r="D23" s="120" t="n"/>
      <c r="E23" s="120" t="n"/>
      <c r="F23" s="120" t="n"/>
      <c r="H23" s="81" t="n"/>
      <c r="I23" s="82" t="n"/>
      <c r="J23" s="82" t="n"/>
      <c r="K23" s="82" t="n"/>
      <c r="L23" s="82" t="n"/>
      <c r="M23" s="75" t="n"/>
      <c r="N23" s="82" t="n"/>
    </row>
    <row r="24" ht="14.25" customHeight="1" s="68">
      <c r="A24" s="121" t="n"/>
      <c r="B24" s="122" t="n"/>
      <c r="C24" s="122" t="n"/>
      <c r="D24" s="122" t="n"/>
      <c r="E24" s="122" t="n"/>
      <c r="F24" s="122" t="n"/>
      <c r="H24" s="81" t="n"/>
      <c r="I24" s="82" t="n"/>
      <c r="J24" s="82" t="n"/>
      <c r="K24" s="82" t="n"/>
      <c r="L24" s="82" t="n"/>
      <c r="M24" s="75" t="n"/>
      <c r="N24" s="82" t="n"/>
    </row>
    <row r="25" ht="14.25" customHeight="1" s="68">
      <c r="A25" s="114" t="n"/>
      <c r="B25" s="114" t="n"/>
      <c r="C25" s="114" t="n"/>
      <c r="H25" s="81" t="n"/>
      <c r="I25" s="82" t="n"/>
      <c r="J25" s="82" t="n"/>
      <c r="K25" s="82" t="n"/>
      <c r="L25" s="82" t="n"/>
      <c r="M25" s="75" t="n"/>
      <c r="N25" s="82" t="n"/>
    </row>
    <row r="26" ht="19.5" customHeight="1" s="68">
      <c r="A26" s="102" t="inlineStr">
        <is>
          <t>CICLO 2</t>
        </is>
      </c>
      <c r="B26" s="103" t="n"/>
      <c r="C26" s="103" t="n"/>
      <c r="D26" s="103" t="n"/>
      <c r="E26" s="103" t="n"/>
      <c r="F26" s="103" t="n"/>
      <c r="H26" s="81" t="n"/>
      <c r="I26" s="82" t="n"/>
      <c r="J26" s="82" t="n"/>
      <c r="K26" s="82" t="n"/>
      <c r="L26" s="82" t="n"/>
      <c r="M26" s="75" t="n"/>
      <c r="N26" s="82" t="n"/>
    </row>
    <row r="27" ht="14.25" customHeight="1" s="68">
      <c r="A27" s="86" t="inlineStr">
        <is>
          <t>Etapa</t>
        </is>
      </c>
      <c r="B27" s="86" t="inlineStr">
        <is>
          <t>Días</t>
        </is>
      </c>
      <c r="C27" s="86" t="inlineStr">
        <is>
          <t>Fecha Inicio</t>
        </is>
      </c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107" t="inlineStr">
        <is>
          <t>Esquejes</t>
        </is>
      </c>
      <c r="B28" s="108" t="n">
        <v>21</v>
      </c>
      <c r="C28" s="94" t="n"/>
    </row>
    <row r="29" ht="14.25" customHeight="1" s="68">
      <c r="A29" s="110" t="inlineStr">
        <is>
          <t>Trasplante a Vaso</t>
        </is>
      </c>
      <c r="B29" s="111" t="n">
        <v>14</v>
      </c>
      <c r="C29" s="112" t="n"/>
    </row>
    <row r="30" ht="14.25" customHeight="1" s="68">
      <c r="A30" s="107" t="inlineStr">
        <is>
          <t>Trasplante Maceta</t>
        </is>
      </c>
      <c r="B30" s="108" t="n">
        <v>14</v>
      </c>
      <c r="C30" s="109" t="n"/>
    </row>
    <row r="31" ht="14.25" customHeight="1" s="68">
      <c r="A31" s="110" t="inlineStr">
        <is>
          <t>Ingreso a Sala</t>
        </is>
      </c>
      <c r="B31" s="111" t="n">
        <v>16</v>
      </c>
      <c r="C31" s="112">
        <f>C12+1</f>
        <v/>
      </c>
    </row>
    <row r="32" ht="14.25" customHeight="1" s="68">
      <c r="A32" s="107" t="inlineStr">
        <is>
          <t>Floración</t>
        </is>
      </c>
      <c r="B32" s="108" t="n">
        <v>63</v>
      </c>
      <c r="C32" s="109">
        <f>IF(C31="","",C31+B31)</f>
        <v/>
      </c>
    </row>
    <row r="33" ht="14.25" customHeight="1" s="68">
      <c r="A33" s="110" t="inlineStr">
        <is>
          <t>Corte</t>
        </is>
      </c>
      <c r="B33" s="111" t="n">
        <v>3</v>
      </c>
      <c r="C33" s="112">
        <f>IF(C32="","",C32+B32)</f>
        <v/>
      </c>
    </row>
    <row r="34" ht="14.25" customHeight="1" s="68">
      <c r="A34" s="107" t="inlineStr">
        <is>
          <t>Secado</t>
        </is>
      </c>
      <c r="B34" s="108" t="n">
        <v>7</v>
      </c>
      <c r="C34" s="109">
        <f>IF(C33="","",C33+B33)</f>
        <v/>
      </c>
    </row>
    <row r="35" ht="14.25" customHeight="1" s="68">
      <c r="A35" s="110" t="inlineStr">
        <is>
          <t>Procesado</t>
        </is>
      </c>
      <c r="B35" s="111" t="n">
        <v>3</v>
      </c>
      <c r="C35" s="112">
        <f>IF(C34="","",C34+B34)</f>
        <v/>
      </c>
    </row>
    <row r="36" ht="14.25" customHeight="1" s="68">
      <c r="A36" s="107" t="inlineStr">
        <is>
          <t>Disponible</t>
        </is>
      </c>
      <c r="B36" s="108" t="n"/>
      <c r="C36" s="109">
        <f>IF(C35="","",C35+B35)</f>
        <v/>
      </c>
    </row>
    <row r="37" ht="14.25" customHeight="1" s="68">
      <c r="A37" s="114" t="n"/>
      <c r="B37" s="114" t="n"/>
      <c r="C37" s="114" t="n"/>
    </row>
    <row r="38" ht="14.25" customHeight="1" s="68">
      <c r="A38" s="115" t="inlineStr">
        <is>
          <t>VARIEDADES</t>
        </is>
      </c>
      <c r="B38" s="116" t="inlineStr">
        <is>
          <t>Cant.</t>
        </is>
      </c>
      <c r="C38" s="114" t="n"/>
    </row>
    <row r="39" ht="14.25" customHeight="1" s="68">
      <c r="A39" s="93" t="n"/>
      <c r="B39" s="75" t="n"/>
      <c r="C39" s="114" t="n"/>
    </row>
    <row r="40" ht="14.25" customHeight="1" s="68">
      <c r="A40" s="93" t="n"/>
      <c r="B40" s="75" t="n"/>
      <c r="C40" s="114" t="n"/>
    </row>
    <row r="41" ht="14.25" customHeight="1" s="68">
      <c r="A41" s="117" t="inlineStr">
        <is>
          <t>TOTAL</t>
        </is>
      </c>
      <c r="B41" s="86">
        <f>SUM(B39:B40)</f>
        <v/>
      </c>
      <c r="C41" s="114" t="n"/>
    </row>
    <row r="42" ht="14.25" customHeight="1" s="68">
      <c r="A42" s="114" t="n"/>
      <c r="B42" s="114" t="n"/>
      <c r="C42" s="114" t="n"/>
    </row>
    <row r="43" ht="14.25" customHeight="1" s="68">
      <c r="A43" s="118" t="inlineStr">
        <is>
          <t>Observaciones:</t>
        </is>
      </c>
      <c r="B43" s="103" t="n"/>
      <c r="C43" s="103" t="n"/>
      <c r="D43" s="103" t="n"/>
      <c r="E43" s="103" t="n"/>
      <c r="F43" s="103" t="n"/>
    </row>
    <row r="44" ht="39.75" customHeight="1" s="68">
      <c r="A44" s="119" t="n"/>
      <c r="B44" s="120" t="n"/>
      <c r="C44" s="120" t="n"/>
      <c r="D44" s="120" t="n"/>
      <c r="E44" s="120" t="n"/>
      <c r="F44" s="120" t="n"/>
    </row>
    <row r="45" ht="14.25" customHeight="1" s="68">
      <c r="A45" s="121" t="n"/>
      <c r="B45" s="122" t="n"/>
      <c r="C45" s="122" t="n"/>
      <c r="D45" s="122" t="n"/>
      <c r="E45" s="122" t="n"/>
      <c r="F45" s="122" t="n"/>
    </row>
    <row r="46" ht="14.25" customHeight="1" s="68">
      <c r="A46" s="114" t="n"/>
      <c r="B46" s="114" t="n"/>
      <c r="C46" s="114" t="n"/>
    </row>
    <row r="47" ht="19.5" customHeight="1" s="68">
      <c r="A47" s="102" t="inlineStr">
        <is>
          <t>CICLO 3</t>
        </is>
      </c>
      <c r="B47" s="103" t="n"/>
      <c r="C47" s="103" t="n"/>
      <c r="D47" s="103" t="n"/>
      <c r="E47" s="103" t="n"/>
      <c r="F47" s="103" t="n"/>
    </row>
    <row r="48" ht="14.25" customHeight="1" s="68">
      <c r="A48" s="86" t="inlineStr">
        <is>
          <t>Etapa</t>
        </is>
      </c>
      <c r="B48" s="86" t="inlineStr">
        <is>
          <t>Días</t>
        </is>
      </c>
      <c r="C48" s="86" t="inlineStr">
        <is>
          <t>Fecha Inicio</t>
        </is>
      </c>
    </row>
    <row r="49" ht="14.25" customHeight="1" s="68">
      <c r="A49" s="107" t="inlineStr">
        <is>
          <t>Esquejes</t>
        </is>
      </c>
      <c r="B49" s="108" t="n">
        <v>21</v>
      </c>
      <c r="C49" s="94" t="n"/>
    </row>
    <row r="50" ht="14.25" customHeight="1" s="68">
      <c r="A50" s="110" t="inlineStr">
        <is>
          <t>Trasplante a Vaso</t>
        </is>
      </c>
      <c r="B50" s="111" t="n">
        <v>14</v>
      </c>
      <c r="C50" s="112" t="n"/>
    </row>
    <row r="51" ht="14.25" customHeight="1" s="68">
      <c r="A51" s="107" t="inlineStr">
        <is>
          <t>Trasplante Maceta</t>
        </is>
      </c>
      <c r="B51" s="108" t="n">
        <v>14</v>
      </c>
      <c r="C51" s="109" t="n"/>
    </row>
    <row r="52" ht="14.25" customHeight="1" s="68">
      <c r="A52" s="110" t="inlineStr">
        <is>
          <t>Ingreso a Sala</t>
        </is>
      </c>
      <c r="B52" s="111" t="n">
        <v>16</v>
      </c>
      <c r="C52" s="112">
        <f>C35+1</f>
        <v/>
      </c>
    </row>
    <row r="53" ht="14.25" customHeight="1" s="68">
      <c r="A53" s="107" t="inlineStr">
        <is>
          <t>Floración</t>
        </is>
      </c>
      <c r="B53" s="108" t="n">
        <v>63</v>
      </c>
      <c r="C53" s="109">
        <f>IF(C52="","",C52+B52)</f>
        <v/>
      </c>
    </row>
    <row r="54" ht="14.25" customHeight="1" s="68">
      <c r="A54" s="110" t="inlineStr">
        <is>
          <t>Corte</t>
        </is>
      </c>
      <c r="B54" s="111" t="n">
        <v>3</v>
      </c>
      <c r="C54" s="112">
        <f>IF(C53="","",C53+B53)</f>
        <v/>
      </c>
    </row>
    <row r="55" ht="14.25" customHeight="1" s="68">
      <c r="A55" s="107" t="inlineStr">
        <is>
          <t>Secado</t>
        </is>
      </c>
      <c r="B55" s="108" t="n">
        <v>7</v>
      </c>
      <c r="C55" s="109">
        <f>IF(C54="","",C54+B54)</f>
        <v/>
      </c>
    </row>
    <row r="56" ht="14.25" customHeight="1" s="68">
      <c r="A56" s="110" t="inlineStr">
        <is>
          <t>Procesado</t>
        </is>
      </c>
      <c r="B56" s="111" t="n">
        <v>3</v>
      </c>
      <c r="C56" s="112">
        <f>IF(C55="","",C55+B55)</f>
        <v/>
      </c>
    </row>
    <row r="57" ht="14.25" customHeight="1" s="68">
      <c r="A57" s="107" t="inlineStr">
        <is>
          <t>Disponible</t>
        </is>
      </c>
      <c r="B57" s="108" t="n"/>
      <c r="C57" s="109">
        <f>IF(C56="","",C56+B56)</f>
        <v/>
      </c>
    </row>
    <row r="58" ht="14.25" customHeight="1" s="68">
      <c r="A58" s="114" t="n"/>
      <c r="B58" s="114" t="n"/>
      <c r="C58" s="114" t="n"/>
    </row>
    <row r="59" ht="14.25" customHeight="1" s="68">
      <c r="A59" s="115" t="inlineStr">
        <is>
          <t>VARIEDADES</t>
        </is>
      </c>
      <c r="B59" s="116" t="inlineStr">
        <is>
          <t>Cant.</t>
        </is>
      </c>
      <c r="C59" s="114" t="n"/>
    </row>
    <row r="60" ht="14.25" customHeight="1" s="68">
      <c r="A60" s="93" t="n"/>
      <c r="B60" s="75" t="n"/>
      <c r="C60" s="114" t="n"/>
    </row>
    <row r="61" ht="14.25" customHeight="1" s="68">
      <c r="A61" s="93" t="n"/>
      <c r="B61" s="75" t="n"/>
      <c r="C61" s="114" t="n"/>
    </row>
    <row r="62" ht="14.25" customHeight="1" s="68">
      <c r="A62" s="117" t="inlineStr">
        <is>
          <t>TOTAL</t>
        </is>
      </c>
      <c r="B62" s="86">
        <f>SUM(B60:B61)</f>
        <v/>
      </c>
      <c r="C62" s="114" t="n"/>
    </row>
    <row r="63" ht="14.25" customHeight="1" s="68">
      <c r="A63" s="114" t="n"/>
      <c r="B63" s="114" t="n"/>
      <c r="C63" s="114" t="n"/>
    </row>
    <row r="64" ht="14.25" customHeight="1" s="68">
      <c r="A64" s="118" t="inlineStr">
        <is>
          <t>Observaciones:</t>
        </is>
      </c>
      <c r="B64" s="103" t="n"/>
      <c r="C64" s="103" t="n"/>
      <c r="D64" s="103" t="n"/>
      <c r="E64" s="103" t="n"/>
      <c r="F64" s="103" t="n"/>
    </row>
    <row r="65" ht="39.75" customHeight="1" s="68">
      <c r="A65" s="119" t="n"/>
      <c r="B65" s="120" t="n"/>
      <c r="C65" s="120" t="n"/>
      <c r="D65" s="120" t="n"/>
      <c r="E65" s="120" t="n"/>
      <c r="F65" s="120" t="n"/>
    </row>
    <row r="66" ht="14.25" customHeight="1" s="68">
      <c r="A66" s="121" t="n"/>
      <c r="B66" s="122" t="n"/>
      <c r="C66" s="122" t="n"/>
      <c r="D66" s="122" t="n"/>
      <c r="E66" s="122" t="n"/>
      <c r="F66" s="122" t="n"/>
    </row>
    <row r="67" ht="14.25" customHeight="1" s="68">
      <c r="A67" s="114" t="n"/>
      <c r="B67" s="114" t="n"/>
      <c r="C67" s="114" t="n"/>
    </row>
    <row r="68" ht="19.5" customHeight="1" s="68">
      <c r="A68" s="102" t="inlineStr">
        <is>
          <t>CICLO 4</t>
        </is>
      </c>
      <c r="B68" s="103" t="n"/>
      <c r="C68" s="103" t="n"/>
      <c r="D68" s="103" t="n"/>
      <c r="E68" s="103" t="n"/>
      <c r="F68" s="103" t="n"/>
    </row>
    <row r="69" ht="14.25" customHeight="1" s="68">
      <c r="A69" s="86" t="inlineStr">
        <is>
          <t>Etapa</t>
        </is>
      </c>
      <c r="B69" s="86" t="inlineStr">
        <is>
          <t>Días</t>
        </is>
      </c>
      <c r="C69" s="86" t="inlineStr">
        <is>
          <t>Fecha Inicio</t>
        </is>
      </c>
    </row>
    <row r="70" ht="14.25" customHeight="1" s="68">
      <c r="A70" s="107" t="inlineStr">
        <is>
          <t>Esquejes</t>
        </is>
      </c>
      <c r="B70" s="108" t="n">
        <v>21</v>
      </c>
      <c r="C70" s="94" t="n"/>
    </row>
    <row r="71" ht="14.25" customHeight="1" s="68">
      <c r="A71" s="110" t="inlineStr">
        <is>
          <t>Trasplante a Vaso</t>
        </is>
      </c>
      <c r="B71" s="111" t="n">
        <v>14</v>
      </c>
      <c r="C71" s="112" t="n"/>
    </row>
    <row r="72" ht="14.25" customHeight="1" s="68">
      <c r="A72" s="107" t="inlineStr">
        <is>
          <t>Trasplante Maceta</t>
        </is>
      </c>
      <c r="B72" s="108" t="n">
        <v>14</v>
      </c>
      <c r="C72" s="109" t="n"/>
    </row>
    <row r="73" ht="14.25" customHeight="1" s="68">
      <c r="A73" s="110" t="inlineStr">
        <is>
          <t>Ingreso a Sala</t>
        </is>
      </c>
      <c r="B73" s="111" t="n">
        <v>16</v>
      </c>
      <c r="C73" s="112">
        <f>C56+1</f>
        <v/>
      </c>
    </row>
    <row r="74" ht="14.25" customHeight="1" s="68">
      <c r="A74" s="107" t="inlineStr">
        <is>
          <t>Floración</t>
        </is>
      </c>
      <c r="B74" s="108" t="n">
        <v>63</v>
      </c>
      <c r="C74" s="109">
        <f>IF(C73="","",C73+B73)</f>
        <v/>
      </c>
    </row>
    <row r="75" ht="14.25" customHeight="1" s="68">
      <c r="A75" s="110" t="inlineStr">
        <is>
          <t>Corte</t>
        </is>
      </c>
      <c r="B75" s="111" t="n">
        <v>3</v>
      </c>
      <c r="C75" s="112">
        <f>IF(C74="","",C74+B74)</f>
        <v/>
      </c>
    </row>
    <row r="76" ht="14.25" customHeight="1" s="68">
      <c r="A76" s="107" t="inlineStr">
        <is>
          <t>Secado</t>
        </is>
      </c>
      <c r="B76" s="108" t="n">
        <v>7</v>
      </c>
      <c r="C76" s="109">
        <f>IF(C75="","",C75+B75)</f>
        <v/>
      </c>
    </row>
    <row r="77" ht="14.25" customHeight="1" s="68">
      <c r="A77" s="110" t="inlineStr">
        <is>
          <t>Procesado</t>
        </is>
      </c>
      <c r="B77" s="111" t="n">
        <v>3</v>
      </c>
      <c r="C77" s="112">
        <f>IF(C76="","",C76+B76)</f>
        <v/>
      </c>
    </row>
    <row r="78" ht="14.25" customHeight="1" s="68">
      <c r="A78" s="107" t="inlineStr">
        <is>
          <t>Disponible</t>
        </is>
      </c>
      <c r="B78" s="108" t="n"/>
      <c r="C78" s="109">
        <f>IF(C77="","",C77+B77)</f>
        <v/>
      </c>
    </row>
    <row r="79" ht="14.25" customHeight="1" s="68">
      <c r="A79" s="114" t="n"/>
      <c r="B79" s="114" t="n"/>
      <c r="C79" s="114" t="n"/>
    </row>
    <row r="80" ht="14.25" customHeight="1" s="68">
      <c r="A80" s="115" t="inlineStr">
        <is>
          <t>VARIEDADES</t>
        </is>
      </c>
      <c r="B80" s="116" t="inlineStr">
        <is>
          <t>Cant.</t>
        </is>
      </c>
      <c r="C80" s="114" t="n"/>
    </row>
    <row r="81" ht="14.25" customHeight="1" s="68">
      <c r="A81" s="93" t="n"/>
      <c r="B81" s="75" t="n"/>
      <c r="C81" s="114" t="n"/>
    </row>
    <row r="82" ht="14.25" customHeight="1" s="68">
      <c r="A82" s="93" t="n"/>
      <c r="B82" s="75" t="n"/>
      <c r="C82" s="114" t="n"/>
    </row>
    <row r="83" ht="14.25" customHeight="1" s="68">
      <c r="A83" s="117" t="inlineStr">
        <is>
          <t>TOTAL</t>
        </is>
      </c>
      <c r="B83" s="86">
        <f>SUM(B81:B82)</f>
        <v/>
      </c>
      <c r="C83" s="114" t="n"/>
    </row>
    <row r="84" ht="14.25" customHeight="1" s="68">
      <c r="A84" s="114" t="n"/>
      <c r="B84" s="114" t="n"/>
      <c r="C84" s="114" t="n"/>
    </row>
    <row r="85" ht="14.25" customHeight="1" s="68">
      <c r="A85" s="118" t="inlineStr">
        <is>
          <t>Observaciones:</t>
        </is>
      </c>
      <c r="B85" s="103" t="n"/>
      <c r="C85" s="103" t="n"/>
      <c r="D85" s="103" t="n"/>
      <c r="E85" s="103" t="n"/>
      <c r="F85" s="103" t="n"/>
    </row>
    <row r="86" ht="39.75" customHeight="1" s="68">
      <c r="A86" s="119" t="n"/>
      <c r="B86" s="120" t="n"/>
      <c r="C86" s="120" t="n"/>
      <c r="D86" s="120" t="n"/>
      <c r="E86" s="120" t="n"/>
      <c r="F86" s="120" t="n"/>
    </row>
    <row r="87" ht="14.25" customHeight="1" s="68">
      <c r="A87" s="121" t="n"/>
      <c r="B87" s="122" t="n"/>
      <c r="C87" s="122" t="n"/>
      <c r="D87" s="122" t="n"/>
      <c r="E87" s="122" t="n"/>
      <c r="F87" s="122" t="n"/>
    </row>
    <row r="88" ht="14.25" customHeight="1" s="68">
      <c r="A88" s="114" t="n"/>
      <c r="B88" s="114" t="n"/>
      <c r="C88" s="114" t="n"/>
    </row>
    <row r="89" ht="19.5" customHeight="1" s="68">
      <c r="A89" s="102" t="inlineStr">
        <is>
          <t>CICLO 5</t>
        </is>
      </c>
      <c r="B89" s="103" t="n"/>
      <c r="C89" s="103" t="n"/>
      <c r="D89" s="103" t="n"/>
      <c r="E89" s="103" t="n"/>
      <c r="F89" s="103" t="n"/>
    </row>
    <row r="90" ht="14.25" customHeight="1" s="68">
      <c r="A90" s="86" t="inlineStr">
        <is>
          <t>Etapa</t>
        </is>
      </c>
      <c r="B90" s="86" t="inlineStr">
        <is>
          <t>Días</t>
        </is>
      </c>
      <c r="C90" s="86" t="inlineStr">
        <is>
          <t>Fecha Inicio</t>
        </is>
      </c>
    </row>
    <row r="91" ht="14.25" customHeight="1" s="68">
      <c r="A91" s="107" t="inlineStr">
        <is>
          <t>Esquejes</t>
        </is>
      </c>
      <c r="B91" s="108" t="n">
        <v>21</v>
      </c>
      <c r="C91" s="94" t="n"/>
    </row>
    <row r="92" ht="14.25" customHeight="1" s="68">
      <c r="A92" s="110" t="inlineStr">
        <is>
          <t>Trasplante a Vaso</t>
        </is>
      </c>
      <c r="B92" s="111" t="n">
        <v>14</v>
      </c>
      <c r="C92" s="112" t="n"/>
    </row>
    <row r="93" ht="14.25" customHeight="1" s="68">
      <c r="A93" s="107" t="inlineStr">
        <is>
          <t>Trasplante Maceta</t>
        </is>
      </c>
      <c r="B93" s="108" t="n">
        <v>14</v>
      </c>
      <c r="C93" s="109" t="n"/>
    </row>
    <row r="94" ht="14.25" customHeight="1" s="68">
      <c r="A94" s="110" t="inlineStr">
        <is>
          <t>Ingreso a Sala</t>
        </is>
      </c>
      <c r="B94" s="111" t="n">
        <v>16</v>
      </c>
      <c r="C94" s="112">
        <f>C77+1</f>
        <v/>
      </c>
    </row>
    <row r="95" ht="14.25" customHeight="1" s="68">
      <c r="A95" s="107" t="inlineStr">
        <is>
          <t>Floración</t>
        </is>
      </c>
      <c r="B95" s="108" t="n">
        <v>63</v>
      </c>
      <c r="C95" s="109">
        <f>IF(C94="","",C94+B94)</f>
        <v/>
      </c>
    </row>
    <row r="96" ht="14.25" customHeight="1" s="68">
      <c r="A96" s="110" t="inlineStr">
        <is>
          <t>Corte</t>
        </is>
      </c>
      <c r="B96" s="111" t="n">
        <v>3</v>
      </c>
      <c r="C96" s="112">
        <f>IF(C95="","",C95+B95)</f>
        <v/>
      </c>
    </row>
    <row r="97" ht="14.25" customHeight="1" s="68">
      <c r="A97" s="107" t="inlineStr">
        <is>
          <t>Secado</t>
        </is>
      </c>
      <c r="B97" s="108" t="n">
        <v>7</v>
      </c>
      <c r="C97" s="109">
        <f>IF(C96="","",C96+B96)</f>
        <v/>
      </c>
    </row>
    <row r="98" ht="14.25" customHeight="1" s="68">
      <c r="A98" s="110" t="inlineStr">
        <is>
          <t>Procesado</t>
        </is>
      </c>
      <c r="B98" s="111" t="n">
        <v>3</v>
      </c>
      <c r="C98" s="112">
        <f>IF(C97="","",C97+B97)</f>
        <v/>
      </c>
    </row>
    <row r="99" ht="14.25" customHeight="1" s="68">
      <c r="A99" s="107" t="inlineStr">
        <is>
          <t>Disponible</t>
        </is>
      </c>
      <c r="B99" s="108" t="n"/>
      <c r="C99" s="109">
        <f>IF(C98="","",C98+B98)</f>
        <v/>
      </c>
    </row>
    <row r="100" ht="14.25" customHeight="1" s="68">
      <c r="A100" s="114" t="n"/>
      <c r="B100" s="114" t="n"/>
      <c r="C100" s="114" t="n"/>
    </row>
    <row r="101" ht="14.25" customHeight="1" s="68">
      <c r="A101" s="115" t="inlineStr">
        <is>
          <t>VARIEDADES</t>
        </is>
      </c>
      <c r="B101" s="116" t="inlineStr">
        <is>
          <t>Cant.</t>
        </is>
      </c>
      <c r="C101" s="114" t="n"/>
    </row>
    <row r="102" ht="14.25" customHeight="1" s="68">
      <c r="A102" s="93" t="n"/>
      <c r="B102" s="75" t="n"/>
      <c r="C102" s="114" t="n"/>
    </row>
    <row r="103" ht="14.25" customHeight="1" s="68">
      <c r="A103" s="93" t="n"/>
      <c r="B103" s="75" t="n"/>
      <c r="C103" s="114" t="n"/>
    </row>
    <row r="104" ht="14.25" customHeight="1" s="68">
      <c r="A104" s="117" t="inlineStr">
        <is>
          <t>TOTAL</t>
        </is>
      </c>
      <c r="B104" s="86">
        <f>SUM(B102:B103)</f>
        <v/>
      </c>
      <c r="C104" s="114" t="n"/>
    </row>
    <row r="105" ht="14.25" customHeight="1" s="68">
      <c r="A105" s="114" t="n"/>
      <c r="B105" s="114" t="n"/>
      <c r="C105" s="114" t="n"/>
    </row>
    <row r="106" ht="14.25" customHeight="1" s="68">
      <c r="A106" s="118" t="inlineStr">
        <is>
          <t>Observaciones:</t>
        </is>
      </c>
      <c r="B106" s="103" t="n"/>
      <c r="C106" s="103" t="n"/>
      <c r="D106" s="103" t="n"/>
      <c r="E106" s="103" t="n"/>
      <c r="F106" s="103" t="n"/>
    </row>
    <row r="107" ht="39.75" customHeight="1" s="68">
      <c r="A107" s="119" t="n"/>
      <c r="B107" s="120" t="n"/>
      <c r="C107" s="120" t="n"/>
      <c r="D107" s="120" t="n"/>
      <c r="E107" s="120" t="n"/>
      <c r="F107" s="120" t="n"/>
    </row>
    <row r="108" ht="14.25" customHeight="1" s="68">
      <c r="A108" s="121" t="n"/>
      <c r="B108" s="122" t="n"/>
      <c r="C108" s="122" t="n"/>
      <c r="D108" s="122" t="n"/>
      <c r="E108" s="122" t="n"/>
      <c r="F108" s="122" t="n"/>
    </row>
    <row r="109" ht="14.25" customHeight="1" s="68">
      <c r="A109" s="114" t="n"/>
      <c r="B109" s="114" t="n"/>
      <c r="C109" s="114" t="n"/>
    </row>
  </sheetData>
  <mergeCells count="17">
    <mergeCell ref="A23:F24"/>
    <mergeCell ref="A85:F85"/>
    <mergeCell ref="H1:M1"/>
    <mergeCell ref="A107:F108"/>
    <mergeCell ref="A47:F47"/>
    <mergeCell ref="A68:F68"/>
    <mergeCell ref="A3:F3"/>
    <mergeCell ref="A1:F1"/>
    <mergeCell ref="A44:F45"/>
    <mergeCell ref="A89:F89"/>
    <mergeCell ref="A106:F106"/>
    <mergeCell ref="A65:F66"/>
    <mergeCell ref="A22:F22"/>
    <mergeCell ref="A26:F26"/>
    <mergeCell ref="A64:F64"/>
    <mergeCell ref="A86:F87"/>
    <mergeCell ref="A43:F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08"/>
  <sheetViews>
    <sheetView showFormulas="0" showGridLines="0" showRowColHeaders="1" showZeros="1" rightToLeft="0" tabSelected="0" showOutlineSymbols="1" defaultGridColor="1" view="normal" topLeftCell="A101" colorId="64" zoomScale="100" zoomScaleNormal="100" zoomScalePageLayoutView="100" workbookViewId="0">
      <selection pane="topLeft" activeCell="B96" activeCellId="0" sqref="B96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SALA 4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46184</v>
      </c>
      <c r="I3" s="82" t="n">
        <v>6</v>
      </c>
      <c r="J3" s="82" t="n">
        <v>2100</v>
      </c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Esquejes</t>
        </is>
      </c>
      <c r="B5" s="105" t="n">
        <v>21</v>
      </c>
      <c r="C5" s="106" t="n">
        <v>46101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a Vaso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Trasplante Maceta</t>
        </is>
      </c>
      <c r="B7" s="105" t="n">
        <v>14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4" t="inlineStr">
        <is>
          <t>Ingreso a Sala</t>
        </is>
      </c>
      <c r="B8" s="105" t="n">
        <v>16</v>
      </c>
      <c r="C8" s="106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4" t="inlineStr">
        <is>
          <t>Floración</t>
        </is>
      </c>
      <c r="B9" s="105" t="n">
        <v>63</v>
      </c>
      <c r="C9" s="106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Corte</t>
        </is>
      </c>
      <c r="B10" s="111" t="n">
        <v>1</v>
      </c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07" t="inlineStr">
        <is>
          <t>Secado</t>
        </is>
      </c>
      <c r="B11" s="108" t="n">
        <v>7</v>
      </c>
      <c r="C11" s="109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0" t="inlineStr">
        <is>
          <t>Procesado</t>
        </is>
      </c>
      <c r="B12" s="111" t="n">
        <v>3</v>
      </c>
      <c r="C12" s="112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7" t="inlineStr">
        <is>
          <t>Disponible</t>
        </is>
      </c>
      <c r="B13" s="108" t="n"/>
      <c r="C13" s="109">
        <f>IF(C12="","",C12+B12)</f>
        <v/>
      </c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Brrberry</t>
        </is>
      </c>
      <c r="B16" s="75" t="n">
        <v>16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93" t="inlineStr">
        <is>
          <t>Cherry Zoda</t>
        </is>
      </c>
      <c r="B17" s="75" t="n">
        <v>12</v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93" t="inlineStr">
        <is>
          <t>Spritz</t>
        </is>
      </c>
      <c r="B18" s="75" t="n">
        <v>22</v>
      </c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7" t="inlineStr">
        <is>
          <t>TOTAL</t>
        </is>
      </c>
      <c r="B19" s="86">
        <f>SUM(B16:B18)</f>
        <v/>
      </c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4.25" customHeight="1" s="68">
      <c r="A20" s="114" t="n"/>
      <c r="B20" s="114" t="n"/>
      <c r="C20" s="114" t="n"/>
      <c r="H20" s="81" t="n"/>
      <c r="I20" s="82" t="n"/>
      <c r="J20" s="82" t="n"/>
      <c r="K20" s="82" t="n"/>
      <c r="L20" s="82" t="n"/>
      <c r="M20" s="75" t="n"/>
      <c r="N20" s="82" t="n"/>
    </row>
    <row r="21" ht="14.25" customHeight="1" s="68">
      <c r="A21" s="118" t="inlineStr">
        <is>
          <t>Observaciones:</t>
        </is>
      </c>
      <c r="B21" s="103" t="n"/>
      <c r="C21" s="103" t="n"/>
      <c r="D21" s="103" t="n"/>
      <c r="E21" s="103" t="n"/>
      <c r="F21" s="103" t="n"/>
      <c r="H21" s="81" t="n"/>
      <c r="I21" s="82" t="n"/>
      <c r="J21" s="82" t="n"/>
      <c r="K21" s="82" t="n"/>
      <c r="L21" s="82" t="n"/>
      <c r="M21" s="75" t="n"/>
      <c r="N21" s="82" t="n"/>
    </row>
    <row r="22" ht="39.75" customHeight="1" s="68">
      <c r="A22" s="119" t="n"/>
      <c r="B22" s="120" t="n"/>
      <c r="C22" s="120" t="n"/>
      <c r="D22" s="120" t="n"/>
      <c r="E22" s="120" t="n"/>
      <c r="F22" s="120" t="n"/>
      <c r="H22" s="81" t="n"/>
      <c r="I22" s="82" t="n"/>
      <c r="J22" s="82" t="n"/>
      <c r="K22" s="82" t="n"/>
      <c r="L22" s="82" t="n"/>
      <c r="M22" s="75" t="n"/>
      <c r="N22" s="82" t="n"/>
    </row>
    <row r="23" ht="14.25" customHeight="1" s="68">
      <c r="A23" s="121" t="n"/>
      <c r="B23" s="122" t="n"/>
      <c r="C23" s="122" t="n"/>
      <c r="D23" s="122" t="n"/>
      <c r="E23" s="122" t="n"/>
      <c r="F23" s="122" t="n"/>
      <c r="H23" s="81" t="n"/>
      <c r="I23" s="82" t="n"/>
      <c r="J23" s="82" t="n"/>
      <c r="K23" s="82" t="n"/>
      <c r="L23" s="82" t="n"/>
      <c r="M23" s="75" t="n"/>
      <c r="N23" s="82" t="n"/>
    </row>
    <row r="24" ht="14.25" customHeight="1" s="68">
      <c r="A24" s="114" t="n"/>
      <c r="B24" s="114" t="n"/>
      <c r="C24" s="114" t="n"/>
      <c r="H24" s="81" t="n"/>
      <c r="I24" s="82" t="n"/>
      <c r="J24" s="82" t="n"/>
      <c r="K24" s="82" t="n"/>
      <c r="L24" s="82" t="n"/>
      <c r="M24" s="75" t="n"/>
      <c r="N24" s="82" t="n"/>
    </row>
    <row r="25" ht="19.5" customHeight="1" s="68">
      <c r="A25" s="102" t="inlineStr">
        <is>
          <t>CICLO 2</t>
        </is>
      </c>
      <c r="B25" s="103" t="n"/>
      <c r="C25" s="103" t="n"/>
      <c r="D25" s="103" t="n"/>
      <c r="E25" s="103" t="n"/>
      <c r="F25" s="103" t="n"/>
      <c r="H25" s="81" t="n"/>
      <c r="I25" s="82" t="n"/>
      <c r="J25" s="82" t="n"/>
      <c r="K25" s="82" t="n"/>
      <c r="L25" s="82" t="n"/>
      <c r="M25" s="75" t="n"/>
      <c r="N25" s="82" t="n"/>
    </row>
    <row r="26" ht="14.25" customHeight="1" s="68">
      <c r="A26" s="86" t="inlineStr">
        <is>
          <t>Etapa</t>
        </is>
      </c>
      <c r="B26" s="86" t="inlineStr">
        <is>
          <t>Días</t>
        </is>
      </c>
      <c r="C26" s="86" t="inlineStr">
        <is>
          <t>Fecha Inicio</t>
        </is>
      </c>
      <c r="H26" s="81" t="n"/>
      <c r="I26" s="82" t="n"/>
      <c r="J26" s="82" t="n"/>
      <c r="K26" s="82" t="n"/>
      <c r="L26" s="82" t="n"/>
      <c r="M26" s="75" t="n"/>
      <c r="N26" s="82" t="n"/>
    </row>
    <row r="27" ht="14.25" customHeight="1" s="68">
      <c r="A27" s="107" t="inlineStr">
        <is>
          <t>Esquejes</t>
        </is>
      </c>
      <c r="B27" s="108" t="n">
        <v>21</v>
      </c>
      <c r="C27" s="94" t="n"/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110" t="inlineStr">
        <is>
          <t>Trasplante a Vaso</t>
        </is>
      </c>
      <c r="B28" s="111" t="n">
        <v>14</v>
      </c>
      <c r="C28" s="112" t="n"/>
    </row>
    <row r="29" ht="14.25" customHeight="1" s="68">
      <c r="A29" s="107" t="inlineStr">
        <is>
          <t>Trasplante Maceta</t>
        </is>
      </c>
      <c r="B29" s="108" t="n">
        <v>14</v>
      </c>
      <c r="C29" s="109" t="n"/>
    </row>
    <row r="30" ht="14.25" customHeight="1" s="68">
      <c r="A30" s="110" t="inlineStr">
        <is>
          <t>Ingreso a Sala</t>
        </is>
      </c>
      <c r="B30" s="111" t="n">
        <v>16</v>
      </c>
      <c r="C30" s="112">
        <f>C12+1</f>
        <v/>
      </c>
    </row>
    <row r="31" ht="14.25" customHeight="1" s="68">
      <c r="A31" s="107" t="inlineStr">
        <is>
          <t>Floración</t>
        </is>
      </c>
      <c r="B31" s="108" t="n">
        <v>63</v>
      </c>
      <c r="C31" s="109">
        <f>IF(C30="","",C30+B30)</f>
        <v/>
      </c>
    </row>
    <row r="32" ht="14.25" customHeight="1" s="68">
      <c r="A32" s="110" t="inlineStr">
        <is>
          <t>Corte</t>
        </is>
      </c>
      <c r="B32" s="111" t="n">
        <v>3</v>
      </c>
      <c r="C32" s="112">
        <f>IF(C31="","",C31+B31)</f>
        <v/>
      </c>
    </row>
    <row r="33" ht="14.25" customHeight="1" s="68">
      <c r="A33" s="107" t="inlineStr">
        <is>
          <t>Secado</t>
        </is>
      </c>
      <c r="B33" s="108" t="n">
        <v>7</v>
      </c>
      <c r="C33" s="109">
        <f>IF(C32="","",C32+B32)</f>
        <v/>
      </c>
    </row>
    <row r="34" ht="14.25" customHeight="1" s="68">
      <c r="A34" s="110" t="inlineStr">
        <is>
          <t>Procesado</t>
        </is>
      </c>
      <c r="B34" s="111" t="n">
        <v>3</v>
      </c>
      <c r="C34" s="112">
        <f>IF(C33="","",C33+B33)</f>
        <v/>
      </c>
    </row>
    <row r="35" ht="14.25" customHeight="1" s="68">
      <c r="A35" s="107" t="inlineStr">
        <is>
          <t>Disponible</t>
        </is>
      </c>
      <c r="B35" s="108" t="n"/>
      <c r="C35" s="109">
        <f>IF(C34="","",C34+B34)</f>
        <v/>
      </c>
    </row>
    <row r="36" ht="14.25" customHeight="1" s="68">
      <c r="A36" s="114" t="n"/>
      <c r="B36" s="114" t="n"/>
      <c r="C36" s="114" t="n"/>
    </row>
    <row r="37" ht="14.25" customHeight="1" s="68">
      <c r="A37" s="115" t="inlineStr">
        <is>
          <t>VARIEDADES</t>
        </is>
      </c>
      <c r="B37" s="116" t="inlineStr">
        <is>
          <t>Cant.</t>
        </is>
      </c>
      <c r="C37" s="114" t="n"/>
    </row>
    <row r="38" ht="14.25" customHeight="1" s="68">
      <c r="A38" s="93" t="n"/>
      <c r="B38" s="75" t="n"/>
      <c r="C38" s="114" t="n"/>
    </row>
    <row r="39" ht="14.25" customHeight="1" s="68">
      <c r="A39" s="93" t="n"/>
      <c r="B39" s="75" t="n"/>
      <c r="C39" s="114" t="n"/>
    </row>
    <row r="40" ht="14.25" customHeight="1" s="68">
      <c r="A40" s="117" t="inlineStr">
        <is>
          <t>TOTAL</t>
        </is>
      </c>
      <c r="B40" s="86">
        <f>SUM(B38:B39)</f>
        <v/>
      </c>
      <c r="C40" s="114" t="n"/>
    </row>
    <row r="41" ht="14.25" customHeight="1" s="68">
      <c r="A41" s="114" t="n"/>
      <c r="B41" s="114" t="n"/>
      <c r="C41" s="114" t="n"/>
    </row>
    <row r="42" ht="14.25" customHeight="1" s="68">
      <c r="A42" s="118" t="inlineStr">
        <is>
          <t>Observaciones:</t>
        </is>
      </c>
      <c r="B42" s="103" t="n"/>
      <c r="C42" s="103" t="n"/>
      <c r="D42" s="103" t="n"/>
      <c r="E42" s="103" t="n"/>
      <c r="F42" s="103" t="n"/>
    </row>
    <row r="43" ht="39.75" customHeight="1" s="68">
      <c r="A43" s="119" t="n"/>
      <c r="B43" s="120" t="n"/>
      <c r="C43" s="120" t="n"/>
      <c r="D43" s="120" t="n"/>
      <c r="E43" s="120" t="n"/>
      <c r="F43" s="120" t="n"/>
    </row>
    <row r="44" ht="14.25" customHeight="1" s="68">
      <c r="A44" s="121" t="n"/>
      <c r="B44" s="122" t="n"/>
      <c r="C44" s="122" t="n"/>
      <c r="D44" s="122" t="n"/>
      <c r="E44" s="122" t="n"/>
      <c r="F44" s="122" t="n"/>
    </row>
    <row r="45" ht="14.25" customHeight="1" s="68">
      <c r="A45" s="114" t="n"/>
      <c r="B45" s="114" t="n"/>
      <c r="C45" s="114" t="n"/>
    </row>
    <row r="46" ht="19.5" customHeight="1" s="68">
      <c r="A46" s="102" t="inlineStr">
        <is>
          <t>CICLO 3</t>
        </is>
      </c>
      <c r="B46" s="103" t="n"/>
      <c r="C46" s="103" t="n"/>
      <c r="D46" s="103" t="n"/>
      <c r="E46" s="103" t="n"/>
      <c r="F46" s="103" t="n"/>
    </row>
    <row r="47" ht="14.25" customHeight="1" s="68">
      <c r="A47" s="86" t="inlineStr">
        <is>
          <t>Etapa</t>
        </is>
      </c>
      <c r="B47" s="86" t="inlineStr">
        <is>
          <t>Días</t>
        </is>
      </c>
      <c r="C47" s="86" t="inlineStr">
        <is>
          <t>Fecha Inicio</t>
        </is>
      </c>
    </row>
    <row r="48" ht="14.25" customHeight="1" s="68">
      <c r="A48" s="107" t="inlineStr">
        <is>
          <t>Esquejes</t>
        </is>
      </c>
      <c r="B48" s="108" t="n">
        <v>21</v>
      </c>
      <c r="C48" s="94" t="n"/>
    </row>
    <row r="49" ht="14.25" customHeight="1" s="68">
      <c r="A49" s="110" t="inlineStr">
        <is>
          <t>Trasplante a Vaso</t>
        </is>
      </c>
      <c r="B49" s="111" t="n">
        <v>14</v>
      </c>
      <c r="C49" s="112" t="n"/>
    </row>
    <row r="50" ht="14.25" customHeight="1" s="68">
      <c r="A50" s="107" t="inlineStr">
        <is>
          <t>Trasplante Maceta</t>
        </is>
      </c>
      <c r="B50" s="108" t="n">
        <v>14</v>
      </c>
      <c r="C50" s="109" t="n"/>
    </row>
    <row r="51" ht="14.25" customHeight="1" s="68">
      <c r="A51" s="110" t="inlineStr">
        <is>
          <t>Ingreso a Sala</t>
        </is>
      </c>
      <c r="B51" s="111" t="n">
        <v>16</v>
      </c>
      <c r="C51" s="112">
        <f>C34+1</f>
        <v/>
      </c>
    </row>
    <row r="52" ht="14.25" customHeight="1" s="68">
      <c r="A52" s="107" t="inlineStr">
        <is>
          <t>Floración</t>
        </is>
      </c>
      <c r="B52" s="108" t="n">
        <v>63</v>
      </c>
      <c r="C52" s="109">
        <f>IF(C51="","",C51+B51)</f>
        <v/>
      </c>
    </row>
    <row r="53" ht="14.25" customHeight="1" s="68">
      <c r="A53" s="110" t="inlineStr">
        <is>
          <t>Corte</t>
        </is>
      </c>
      <c r="B53" s="111" t="n">
        <v>2</v>
      </c>
      <c r="C53" s="112">
        <f>IF(C52="","",C52+B52)</f>
        <v/>
      </c>
    </row>
    <row r="54" ht="14.25" customHeight="1" s="68">
      <c r="A54" s="107" t="inlineStr">
        <is>
          <t>Secado</t>
        </is>
      </c>
      <c r="B54" s="108" t="n">
        <v>7</v>
      </c>
      <c r="C54" s="109">
        <f>IF(C53="","",C53+B53)</f>
        <v/>
      </c>
    </row>
    <row r="55" ht="14.25" customHeight="1" s="68">
      <c r="A55" s="110" t="inlineStr">
        <is>
          <t>Procesado</t>
        </is>
      </c>
      <c r="B55" s="111" t="n">
        <v>3</v>
      </c>
      <c r="C55" s="112">
        <f>IF(C54="","",C54+B54)</f>
        <v/>
      </c>
    </row>
    <row r="56" ht="14.25" customHeight="1" s="68">
      <c r="A56" s="107" t="inlineStr">
        <is>
          <t>Disponible</t>
        </is>
      </c>
      <c r="B56" s="108" t="n"/>
      <c r="C56" s="109">
        <f>IF(C55="","",C55+B55)</f>
        <v/>
      </c>
    </row>
    <row r="57" ht="14.25" customHeight="1" s="68">
      <c r="A57" s="114" t="n"/>
      <c r="B57" s="114" t="n"/>
      <c r="C57" s="114" t="n"/>
    </row>
    <row r="58" ht="14.25" customHeight="1" s="68">
      <c r="A58" s="115" t="inlineStr">
        <is>
          <t>VARIEDADES</t>
        </is>
      </c>
      <c r="B58" s="116" t="inlineStr">
        <is>
          <t>Cant.</t>
        </is>
      </c>
      <c r="C58" s="114" t="n"/>
    </row>
    <row r="59" ht="14.25" customHeight="1" s="68">
      <c r="A59" s="93" t="n"/>
      <c r="B59" s="75" t="n"/>
      <c r="C59" s="114" t="n"/>
    </row>
    <row r="60" ht="14.25" customHeight="1" s="68">
      <c r="A60" s="93" t="n"/>
      <c r="B60" s="75" t="n"/>
      <c r="C60" s="114" t="n"/>
    </row>
    <row r="61" ht="14.25" customHeight="1" s="68">
      <c r="A61" s="117" t="inlineStr">
        <is>
          <t>TOTAL</t>
        </is>
      </c>
      <c r="B61" s="86">
        <f>SUM(B59:B60)</f>
        <v/>
      </c>
      <c r="C61" s="114" t="n"/>
    </row>
    <row r="62" ht="14.25" customHeight="1" s="68">
      <c r="A62" s="114" t="n"/>
      <c r="B62" s="114" t="n"/>
      <c r="C62" s="114" t="n"/>
    </row>
    <row r="63" ht="14.25" customHeight="1" s="68">
      <c r="A63" s="118" t="inlineStr">
        <is>
          <t>Observaciones:</t>
        </is>
      </c>
      <c r="B63" s="103" t="n"/>
      <c r="C63" s="103" t="n"/>
      <c r="D63" s="103" t="n"/>
      <c r="E63" s="103" t="n"/>
      <c r="F63" s="103" t="n"/>
    </row>
    <row r="64" ht="39.75" customHeight="1" s="68">
      <c r="A64" s="119" t="n"/>
      <c r="B64" s="120" t="n"/>
      <c r="C64" s="120" t="n"/>
      <c r="D64" s="120" t="n"/>
      <c r="E64" s="120" t="n"/>
      <c r="F64" s="120" t="n"/>
    </row>
    <row r="65" ht="14.25" customHeight="1" s="68">
      <c r="A65" s="121" t="n"/>
      <c r="B65" s="122" t="n"/>
      <c r="C65" s="122" t="n"/>
      <c r="D65" s="122" t="n"/>
      <c r="E65" s="122" t="n"/>
      <c r="F65" s="122" t="n"/>
    </row>
    <row r="66" ht="14.25" customHeight="1" s="68">
      <c r="A66" s="114" t="n"/>
      <c r="B66" s="114" t="n"/>
      <c r="C66" s="114" t="n"/>
    </row>
    <row r="67" ht="19.5" customHeight="1" s="68">
      <c r="A67" s="102" t="inlineStr">
        <is>
          <t>CICLO 4</t>
        </is>
      </c>
      <c r="B67" s="103" t="n"/>
      <c r="C67" s="103" t="n"/>
      <c r="D67" s="103" t="n"/>
      <c r="E67" s="103" t="n"/>
      <c r="F67" s="103" t="n"/>
    </row>
    <row r="68" ht="14.25" customHeight="1" s="68">
      <c r="A68" s="86" t="inlineStr">
        <is>
          <t>Etapa</t>
        </is>
      </c>
      <c r="B68" s="86" t="inlineStr">
        <is>
          <t>Días</t>
        </is>
      </c>
      <c r="C68" s="86" t="inlineStr">
        <is>
          <t>Fecha Inicio</t>
        </is>
      </c>
    </row>
    <row r="69" ht="14.25" customHeight="1" s="68">
      <c r="A69" s="107" t="inlineStr">
        <is>
          <t>Esquejes</t>
        </is>
      </c>
      <c r="B69" s="108" t="n">
        <v>21</v>
      </c>
      <c r="C69" s="94" t="n"/>
    </row>
    <row r="70" ht="14.25" customHeight="1" s="68">
      <c r="A70" s="110" t="inlineStr">
        <is>
          <t>Trasplante a Vaso</t>
        </is>
      </c>
      <c r="B70" s="111" t="n">
        <v>14</v>
      </c>
      <c r="C70" s="112" t="n"/>
    </row>
    <row r="71" ht="14.25" customHeight="1" s="68">
      <c r="A71" s="107" t="inlineStr">
        <is>
          <t>Trasplante Maceta</t>
        </is>
      </c>
      <c r="B71" s="108" t="n">
        <v>14</v>
      </c>
      <c r="C71" s="109" t="n"/>
    </row>
    <row r="72" ht="14.25" customHeight="1" s="68">
      <c r="A72" s="110" t="inlineStr">
        <is>
          <t>Ingreso a Sala</t>
        </is>
      </c>
      <c r="B72" s="111" t="n">
        <v>16</v>
      </c>
      <c r="C72" s="112">
        <f>C55+1</f>
        <v/>
      </c>
    </row>
    <row r="73" ht="14.25" customHeight="1" s="68">
      <c r="A73" s="107" t="inlineStr">
        <is>
          <t>Floración</t>
        </is>
      </c>
      <c r="B73" s="108" t="n">
        <v>63</v>
      </c>
      <c r="C73" s="109">
        <f>IF(C72="","",C72+B72)</f>
        <v/>
      </c>
    </row>
    <row r="74" ht="14.25" customHeight="1" s="68">
      <c r="A74" s="110" t="inlineStr">
        <is>
          <t>Corte</t>
        </is>
      </c>
      <c r="B74" s="111" t="n">
        <v>2</v>
      </c>
      <c r="C74" s="112">
        <f>IF(C73="","",C73+B73)</f>
        <v/>
      </c>
    </row>
    <row r="75" ht="14.25" customHeight="1" s="68">
      <c r="A75" s="107" t="inlineStr">
        <is>
          <t>Secado</t>
        </is>
      </c>
      <c r="B75" s="108" t="n">
        <v>7</v>
      </c>
      <c r="C75" s="109">
        <f>IF(C74="","",C74+B74)</f>
        <v/>
      </c>
    </row>
    <row r="76" ht="14.25" customHeight="1" s="68">
      <c r="A76" s="110" t="inlineStr">
        <is>
          <t>Procesado</t>
        </is>
      </c>
      <c r="B76" s="111" t="n">
        <v>3</v>
      </c>
      <c r="C76" s="112">
        <f>IF(C75="","",C75+B75)</f>
        <v/>
      </c>
    </row>
    <row r="77" ht="14.25" customHeight="1" s="68">
      <c r="A77" s="107" t="inlineStr">
        <is>
          <t>Disponible</t>
        </is>
      </c>
      <c r="B77" s="108" t="n"/>
      <c r="C77" s="109">
        <f>IF(C76="","",C76+B76)</f>
        <v/>
      </c>
    </row>
    <row r="78" ht="14.25" customHeight="1" s="68">
      <c r="A78" s="114" t="n"/>
      <c r="B78" s="114" t="n"/>
      <c r="C78" s="114" t="n"/>
    </row>
    <row r="79" ht="14.25" customHeight="1" s="68">
      <c r="A79" s="115" t="inlineStr">
        <is>
          <t>VARIEDADES</t>
        </is>
      </c>
      <c r="B79" s="116" t="inlineStr">
        <is>
          <t>Cant.</t>
        </is>
      </c>
      <c r="C79" s="114" t="n"/>
    </row>
    <row r="80" ht="14.25" customHeight="1" s="68">
      <c r="A80" s="93" t="n"/>
      <c r="B80" s="75" t="n"/>
      <c r="C80" s="114" t="n"/>
    </row>
    <row r="81" ht="14.25" customHeight="1" s="68">
      <c r="A81" s="93" t="n"/>
      <c r="B81" s="75" t="n"/>
      <c r="C81" s="114" t="n"/>
    </row>
    <row r="82" ht="14.25" customHeight="1" s="68">
      <c r="A82" s="117" t="inlineStr">
        <is>
          <t>TOTAL</t>
        </is>
      </c>
      <c r="B82" s="86">
        <f>SUM(B80:B81)</f>
        <v/>
      </c>
      <c r="C82" s="114" t="n"/>
    </row>
    <row r="83" ht="14.25" customHeight="1" s="68">
      <c r="A83" s="114" t="n"/>
      <c r="B83" s="114" t="n"/>
      <c r="C83" s="114" t="n"/>
    </row>
    <row r="84" ht="14.25" customHeight="1" s="68">
      <c r="A84" s="118" t="inlineStr">
        <is>
          <t>Observaciones:</t>
        </is>
      </c>
      <c r="B84" s="103" t="n"/>
      <c r="C84" s="103" t="n"/>
      <c r="D84" s="103" t="n"/>
      <c r="E84" s="103" t="n"/>
      <c r="F84" s="103" t="n"/>
    </row>
    <row r="85" ht="39.75" customHeight="1" s="68">
      <c r="A85" s="119" t="n"/>
      <c r="B85" s="120" t="n"/>
      <c r="C85" s="120" t="n"/>
      <c r="D85" s="120" t="n"/>
      <c r="E85" s="120" t="n"/>
      <c r="F85" s="120" t="n"/>
    </row>
    <row r="86" ht="14.25" customHeight="1" s="68">
      <c r="A86" s="121" t="n"/>
      <c r="B86" s="122" t="n"/>
      <c r="C86" s="122" t="n"/>
      <c r="D86" s="122" t="n"/>
      <c r="E86" s="122" t="n"/>
      <c r="F86" s="122" t="n"/>
    </row>
    <row r="87" ht="14.25" customHeight="1" s="68">
      <c r="A87" s="114" t="n"/>
      <c r="B87" s="114" t="n"/>
      <c r="C87" s="114" t="n"/>
    </row>
    <row r="88" ht="19.5" customHeight="1" s="68">
      <c r="A88" s="102" t="inlineStr">
        <is>
          <t>CICLO 5</t>
        </is>
      </c>
      <c r="B88" s="103" t="n"/>
      <c r="C88" s="103" t="n"/>
      <c r="D88" s="103" t="n"/>
      <c r="E88" s="103" t="n"/>
      <c r="F88" s="103" t="n"/>
    </row>
    <row r="89" ht="14.25" customHeight="1" s="68">
      <c r="A89" s="86" t="inlineStr">
        <is>
          <t>Etapa</t>
        </is>
      </c>
      <c r="B89" s="86" t="inlineStr">
        <is>
          <t>Días</t>
        </is>
      </c>
      <c r="C89" s="86" t="inlineStr">
        <is>
          <t>Fecha Inicio</t>
        </is>
      </c>
    </row>
    <row r="90" ht="14.25" customHeight="1" s="68">
      <c r="A90" s="107" t="inlineStr">
        <is>
          <t>Esquejes</t>
        </is>
      </c>
      <c r="B90" s="108" t="n">
        <v>21</v>
      </c>
      <c r="C90" s="94" t="n"/>
    </row>
    <row r="91" ht="14.25" customHeight="1" s="68">
      <c r="A91" s="110" t="inlineStr">
        <is>
          <t>Trasplante a Vaso</t>
        </is>
      </c>
      <c r="B91" s="111" t="n">
        <v>14</v>
      </c>
      <c r="C91" s="112" t="n"/>
    </row>
    <row r="92" ht="14.25" customHeight="1" s="68">
      <c r="A92" s="107" t="inlineStr">
        <is>
          <t>Trasplante Maceta</t>
        </is>
      </c>
      <c r="B92" s="108" t="n">
        <v>14</v>
      </c>
      <c r="C92" s="109" t="n"/>
    </row>
    <row r="93" ht="14.25" customHeight="1" s="68">
      <c r="A93" s="110" t="inlineStr">
        <is>
          <t>Ingreso a Sala</t>
        </is>
      </c>
      <c r="B93" s="111" t="n">
        <v>16</v>
      </c>
      <c r="C93" s="112">
        <f>C76+1</f>
        <v/>
      </c>
    </row>
    <row r="94" ht="14.25" customHeight="1" s="68">
      <c r="A94" s="107" t="inlineStr">
        <is>
          <t>Floración</t>
        </is>
      </c>
      <c r="B94" s="108" t="n">
        <v>63</v>
      </c>
      <c r="C94" s="109">
        <f>IF(C93="","",C93+B93)</f>
        <v/>
      </c>
    </row>
    <row r="95" ht="14.25" customHeight="1" s="68">
      <c r="A95" s="110" t="inlineStr">
        <is>
          <t>Corte</t>
        </is>
      </c>
      <c r="B95" s="111" t="n">
        <v>2</v>
      </c>
      <c r="C95" s="112">
        <f>IF(C94="","",C94+B94)</f>
        <v/>
      </c>
    </row>
    <row r="96" ht="14.25" customHeight="1" s="68">
      <c r="A96" s="107" t="inlineStr">
        <is>
          <t>Secado</t>
        </is>
      </c>
      <c r="B96" s="108" t="n">
        <v>7</v>
      </c>
      <c r="C96" s="109">
        <f>IF(C95="","",C95+B95)</f>
        <v/>
      </c>
    </row>
    <row r="97" ht="14.25" customHeight="1" s="68">
      <c r="A97" s="110" t="inlineStr">
        <is>
          <t>Procesado</t>
        </is>
      </c>
      <c r="B97" s="111" t="n">
        <v>3</v>
      </c>
      <c r="C97" s="112">
        <f>IF(C96="","",C96+B96)</f>
        <v/>
      </c>
    </row>
    <row r="98" ht="14.25" customHeight="1" s="68">
      <c r="A98" s="107" t="inlineStr">
        <is>
          <t>Disponible</t>
        </is>
      </c>
      <c r="B98" s="108" t="n"/>
      <c r="C98" s="109">
        <f>IF(C97="","",C97+B97)</f>
        <v/>
      </c>
    </row>
    <row r="99" ht="14.25" customHeight="1" s="68">
      <c r="A99" s="114" t="n"/>
      <c r="B99" s="114" t="n"/>
      <c r="C99" s="114" t="n"/>
    </row>
    <row r="100" ht="14.25" customHeight="1" s="68">
      <c r="A100" s="115" t="inlineStr">
        <is>
          <t>VARIEDADES</t>
        </is>
      </c>
      <c r="B100" s="116" t="inlineStr">
        <is>
          <t>Cant.</t>
        </is>
      </c>
      <c r="C100" s="114" t="n"/>
    </row>
    <row r="101" ht="14.25" customHeight="1" s="68">
      <c r="A101" s="93" t="n"/>
      <c r="B101" s="75" t="n"/>
      <c r="C101" s="114" t="n"/>
    </row>
    <row r="102" ht="14.25" customHeight="1" s="68">
      <c r="A102" s="93" t="n"/>
      <c r="B102" s="75" t="n"/>
      <c r="C102" s="114" t="n"/>
    </row>
    <row r="103" ht="14.25" customHeight="1" s="68">
      <c r="A103" s="117" t="inlineStr">
        <is>
          <t>TOTAL</t>
        </is>
      </c>
      <c r="B103" s="86">
        <f>SUM(B101:B102)</f>
        <v/>
      </c>
      <c r="C103" s="114" t="n"/>
    </row>
    <row r="104" ht="14.25" customHeight="1" s="68">
      <c r="A104" s="114" t="n"/>
      <c r="B104" s="114" t="n"/>
      <c r="C104" s="114" t="n"/>
    </row>
    <row r="105" ht="14.25" customHeight="1" s="68">
      <c r="A105" s="118" t="inlineStr">
        <is>
          <t>Observaciones:</t>
        </is>
      </c>
      <c r="B105" s="103" t="n"/>
      <c r="C105" s="103" t="n"/>
      <c r="D105" s="103" t="n"/>
      <c r="E105" s="103" t="n"/>
      <c r="F105" s="103" t="n"/>
    </row>
    <row r="106" ht="39.75" customHeight="1" s="68">
      <c r="A106" s="119" t="n"/>
      <c r="B106" s="120" t="n"/>
      <c r="C106" s="120" t="n"/>
      <c r="D106" s="120" t="n"/>
      <c r="E106" s="120" t="n"/>
      <c r="F106" s="120" t="n"/>
    </row>
    <row r="107" ht="14.25" customHeight="1" s="68">
      <c r="A107" s="121" t="n"/>
      <c r="B107" s="122" t="n"/>
      <c r="C107" s="122" t="n"/>
      <c r="D107" s="122" t="n"/>
      <c r="E107" s="122" t="n"/>
      <c r="F107" s="122" t="n"/>
    </row>
    <row r="108" ht="14.25" customHeight="1" s="68">
      <c r="A108" s="114" t="n"/>
      <c r="B108" s="114" t="n"/>
      <c r="C108" s="114" t="n"/>
    </row>
  </sheetData>
  <mergeCells count="17">
    <mergeCell ref="A63:F63"/>
    <mergeCell ref="H1:M1"/>
    <mergeCell ref="A42:F42"/>
    <mergeCell ref="A46:F46"/>
    <mergeCell ref="A84:F84"/>
    <mergeCell ref="A85:F86"/>
    <mergeCell ref="A106:F107"/>
    <mergeCell ref="A1:F1"/>
    <mergeCell ref="A67:F67"/>
    <mergeCell ref="A43:F44"/>
    <mergeCell ref="A88:F88"/>
    <mergeCell ref="A105:F105"/>
    <mergeCell ref="A22:F23"/>
    <mergeCell ref="A3:F3"/>
    <mergeCell ref="A21:F21"/>
    <mergeCell ref="A25:F25"/>
    <mergeCell ref="A64:F6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02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B51" activeCellId="0" sqref="B51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SALA 5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46184</v>
      </c>
      <c r="I3" s="82" t="n">
        <v>6.1</v>
      </c>
      <c r="J3" s="82" t="n">
        <v>2150</v>
      </c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Esquejes</t>
        </is>
      </c>
      <c r="B5" s="105" t="n">
        <v>21</v>
      </c>
      <c r="C5" s="106" t="n">
        <v>46113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a Vaso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Trasplante Maceta</t>
        </is>
      </c>
      <c r="B7" s="105" t="n">
        <v>14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4" t="inlineStr">
        <is>
          <t>Ingreso a Sala</t>
        </is>
      </c>
      <c r="B8" s="105" t="n">
        <v>16</v>
      </c>
      <c r="C8" s="106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4" t="inlineStr">
        <is>
          <t>Floración</t>
        </is>
      </c>
      <c r="B9" s="105" t="n">
        <v>63</v>
      </c>
      <c r="C9" s="106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Corte</t>
        </is>
      </c>
      <c r="B10" s="111" t="n">
        <v>2</v>
      </c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07" t="inlineStr">
        <is>
          <t>Secado</t>
        </is>
      </c>
      <c r="B11" s="108" t="n">
        <v>7</v>
      </c>
      <c r="C11" s="109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0" t="inlineStr">
        <is>
          <t>Procesado</t>
        </is>
      </c>
      <c r="B12" s="111" t="n">
        <v>3</v>
      </c>
      <c r="C12" s="112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7" t="inlineStr">
        <is>
          <t>Disponible</t>
        </is>
      </c>
      <c r="B13" s="108" t="n"/>
      <c r="C13" s="109">
        <f>IF(C12="","",C12+B12)</f>
        <v/>
      </c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Papaya Feno Hunting</t>
        </is>
      </c>
      <c r="B16" s="75" t="n">
        <v>33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117" t="inlineStr">
        <is>
          <t>TOTAL</t>
        </is>
      </c>
      <c r="B17" s="86">
        <f>SUM(B16:B16)</f>
        <v/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14" t="n"/>
      <c r="B18" s="114" t="n"/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8" t="inlineStr">
        <is>
          <t>Observaciones:</t>
        </is>
      </c>
      <c r="B19" s="103" t="n"/>
      <c r="C19" s="103" t="n"/>
      <c r="D19" s="103" t="n"/>
      <c r="E19" s="103" t="n"/>
      <c r="F19" s="103" t="n"/>
      <c r="H19" s="81" t="n"/>
      <c r="I19" s="82" t="n"/>
      <c r="J19" s="82" t="n"/>
      <c r="K19" s="82" t="n"/>
      <c r="L19" s="82" t="n"/>
      <c r="M19" s="75" t="n"/>
      <c r="N19" s="82" t="n"/>
    </row>
    <row r="20" ht="39.75" customHeight="1" s="68">
      <c r="A20" s="119" t="n"/>
      <c r="B20" s="120" t="n"/>
      <c r="C20" s="120" t="n"/>
      <c r="D20" s="120" t="n"/>
      <c r="E20" s="120" t="n"/>
      <c r="F20" s="120" t="n"/>
      <c r="H20" s="81" t="n"/>
      <c r="I20" s="82" t="n"/>
      <c r="J20" s="82" t="n"/>
      <c r="K20" s="82" t="n"/>
      <c r="L20" s="82" t="n"/>
      <c r="M20" s="75" t="n"/>
      <c r="N20" s="82" t="n"/>
    </row>
    <row r="21" ht="14.25" customHeight="1" s="68">
      <c r="A21" s="121" t="n"/>
      <c r="B21" s="122" t="n"/>
      <c r="C21" s="122" t="n"/>
      <c r="D21" s="122" t="n"/>
      <c r="E21" s="122" t="n"/>
      <c r="F21" s="122" t="n"/>
      <c r="H21" s="81" t="n"/>
      <c r="I21" s="82" t="n"/>
      <c r="J21" s="82" t="n"/>
      <c r="K21" s="82" t="n"/>
      <c r="L21" s="82" t="n"/>
      <c r="M21" s="75" t="n"/>
      <c r="N21" s="82" t="n"/>
    </row>
    <row r="22" ht="14.25" customHeight="1" s="68">
      <c r="A22" s="114" t="n"/>
      <c r="B22" s="114" t="n"/>
      <c r="C22" s="114" t="n"/>
      <c r="H22" s="81" t="n"/>
      <c r="I22" s="82" t="n"/>
      <c r="J22" s="82" t="n"/>
      <c r="K22" s="82" t="n"/>
      <c r="L22" s="82" t="n"/>
      <c r="M22" s="75" t="n"/>
      <c r="N22" s="82" t="n"/>
    </row>
    <row r="23" ht="19.5" customHeight="1" s="68">
      <c r="A23" s="102" t="inlineStr">
        <is>
          <t>CICLO 2</t>
        </is>
      </c>
      <c r="B23" s="103" t="n"/>
      <c r="C23" s="103" t="n"/>
      <c r="D23" s="103" t="n"/>
      <c r="E23" s="103" t="n"/>
      <c r="F23" s="103" t="n"/>
      <c r="H23" s="81" t="n"/>
      <c r="I23" s="82" t="n"/>
      <c r="J23" s="82" t="n"/>
      <c r="K23" s="82" t="n"/>
      <c r="L23" s="82" t="n"/>
      <c r="M23" s="75" t="n"/>
      <c r="N23" s="82" t="n"/>
    </row>
    <row r="24" ht="14.25" customHeight="1" s="68">
      <c r="A24" s="86" t="inlineStr">
        <is>
          <t>Etapa</t>
        </is>
      </c>
      <c r="B24" s="86" t="inlineStr">
        <is>
          <t>Días</t>
        </is>
      </c>
      <c r="C24" s="86" t="inlineStr">
        <is>
          <t>Fecha Inicio</t>
        </is>
      </c>
      <c r="H24" s="81" t="n"/>
      <c r="I24" s="82" t="n"/>
      <c r="J24" s="82" t="n"/>
      <c r="K24" s="82" t="n"/>
      <c r="L24" s="82" t="n"/>
      <c r="M24" s="75" t="n"/>
      <c r="N24" s="82" t="n"/>
    </row>
    <row r="25" ht="14.25" customHeight="1" s="68">
      <c r="A25" s="107" t="inlineStr">
        <is>
          <t>Esquejes</t>
        </is>
      </c>
      <c r="B25" s="108" t="n">
        <v>21</v>
      </c>
      <c r="C25" s="94" t="n"/>
      <c r="H25" s="81" t="n"/>
      <c r="I25" s="82" t="n"/>
      <c r="J25" s="82" t="n"/>
      <c r="K25" s="82" t="n"/>
      <c r="L25" s="82" t="n"/>
      <c r="M25" s="75" t="n"/>
      <c r="N25" s="82" t="n"/>
    </row>
    <row r="26" ht="14.25" customHeight="1" s="68">
      <c r="A26" s="110" t="inlineStr">
        <is>
          <t>Trasplante a Vaso</t>
        </is>
      </c>
      <c r="B26" s="111" t="n">
        <v>14</v>
      </c>
      <c r="C26" s="112" t="n"/>
      <c r="H26" s="81" t="n"/>
      <c r="I26" s="82" t="n"/>
      <c r="J26" s="82" t="n"/>
      <c r="K26" s="82" t="n"/>
      <c r="L26" s="82" t="n"/>
      <c r="M26" s="75" t="n"/>
      <c r="N26" s="82" t="n"/>
    </row>
    <row r="27" ht="14.25" customHeight="1" s="68">
      <c r="A27" s="107" t="inlineStr">
        <is>
          <t>Trasplante Maceta</t>
        </is>
      </c>
      <c r="B27" s="108" t="n">
        <v>14</v>
      </c>
      <c r="C27" s="109" t="n"/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110" t="inlineStr">
        <is>
          <t>Ingreso a Sala</t>
        </is>
      </c>
      <c r="B28" s="111" t="n">
        <v>16</v>
      </c>
      <c r="C28" s="112">
        <f>C12+1</f>
        <v/>
      </c>
    </row>
    <row r="29" ht="14.25" customHeight="1" s="68">
      <c r="A29" s="107" t="inlineStr">
        <is>
          <t>Floración</t>
        </is>
      </c>
      <c r="B29" s="108" t="n">
        <v>63</v>
      </c>
      <c r="C29" s="109">
        <f>IF(C28="","",C28+B28)</f>
        <v/>
      </c>
    </row>
    <row r="30" ht="14.25" customHeight="1" s="68">
      <c r="A30" s="110" t="inlineStr">
        <is>
          <t>Corte</t>
        </is>
      </c>
      <c r="B30" s="111" t="n">
        <v>2</v>
      </c>
      <c r="C30" s="112">
        <f>IF(C29="","",C29+B29)</f>
        <v/>
      </c>
    </row>
    <row r="31" ht="14.25" customHeight="1" s="68">
      <c r="A31" s="107" t="inlineStr">
        <is>
          <t>Secado</t>
        </is>
      </c>
      <c r="B31" s="108" t="n">
        <v>7</v>
      </c>
      <c r="C31" s="109">
        <f>IF(C30="","",C30+B30)</f>
        <v/>
      </c>
    </row>
    <row r="32" ht="14.25" customHeight="1" s="68">
      <c r="A32" s="110" t="inlineStr">
        <is>
          <t>Procesado</t>
        </is>
      </c>
      <c r="B32" s="111" t="n">
        <v>3</v>
      </c>
      <c r="C32" s="112">
        <f>IF(C31="","",C31+B31)</f>
        <v/>
      </c>
    </row>
    <row r="33" ht="14.25" customHeight="1" s="68">
      <c r="A33" s="107" t="inlineStr">
        <is>
          <t>Disponible</t>
        </is>
      </c>
      <c r="B33" s="108" t="n"/>
      <c r="C33" s="109">
        <f>IF(C32="","",C32+B32)</f>
        <v/>
      </c>
    </row>
    <row r="34" ht="14.25" customHeight="1" s="68">
      <c r="A34" s="114" t="n"/>
      <c r="B34" s="114" t="n"/>
      <c r="C34" s="114" t="n"/>
    </row>
    <row r="35" ht="14.25" customHeight="1" s="68">
      <c r="A35" s="115" t="inlineStr">
        <is>
          <t>VARIEDADES</t>
        </is>
      </c>
      <c r="B35" s="116" t="inlineStr">
        <is>
          <t>Cant.</t>
        </is>
      </c>
      <c r="C35" s="114" t="n"/>
    </row>
    <row r="36" ht="14.25" customHeight="1" s="68">
      <c r="A36" s="93" t="n"/>
      <c r="B36" s="75" t="n"/>
      <c r="C36" s="114" t="n"/>
    </row>
    <row r="37" ht="14.25" customHeight="1" s="68">
      <c r="A37" s="117" t="inlineStr">
        <is>
          <t>TOTAL</t>
        </is>
      </c>
      <c r="B37" s="86">
        <f>SUM(B36:B36)</f>
        <v/>
      </c>
      <c r="C37" s="114" t="n"/>
    </row>
    <row r="38" ht="14.25" customHeight="1" s="68">
      <c r="A38" s="114" t="n"/>
      <c r="B38" s="114" t="n"/>
      <c r="C38" s="114" t="n"/>
    </row>
    <row r="39" ht="14.25" customHeight="1" s="68">
      <c r="A39" s="118" t="inlineStr">
        <is>
          <t>Observaciones:</t>
        </is>
      </c>
      <c r="B39" s="103" t="n"/>
      <c r="C39" s="103" t="n"/>
      <c r="D39" s="103" t="n"/>
      <c r="E39" s="103" t="n"/>
      <c r="F39" s="103" t="n"/>
    </row>
    <row r="40" ht="39.75" customHeight="1" s="68">
      <c r="A40" s="119" t="n"/>
      <c r="B40" s="120" t="n"/>
      <c r="C40" s="120" t="n"/>
      <c r="D40" s="120" t="n"/>
      <c r="E40" s="120" t="n"/>
      <c r="F40" s="120" t="n"/>
    </row>
    <row r="41" ht="14.25" customHeight="1" s="68">
      <c r="A41" s="121" t="n"/>
      <c r="B41" s="122" t="n"/>
      <c r="C41" s="122" t="n"/>
      <c r="D41" s="122" t="n"/>
      <c r="E41" s="122" t="n"/>
      <c r="F41" s="122" t="n"/>
    </row>
    <row r="42" ht="14.25" customHeight="1" s="68">
      <c r="A42" s="114" t="n"/>
      <c r="B42" s="114" t="n"/>
      <c r="C42" s="114" t="n"/>
    </row>
    <row r="43" ht="19.5" customHeight="1" s="68">
      <c r="A43" s="102" t="inlineStr">
        <is>
          <t>CICLO 3</t>
        </is>
      </c>
      <c r="B43" s="103" t="n"/>
      <c r="C43" s="103" t="n"/>
      <c r="D43" s="103" t="n"/>
      <c r="E43" s="103" t="n"/>
      <c r="F43" s="103" t="n"/>
    </row>
    <row r="44" ht="14.25" customHeight="1" s="68">
      <c r="A44" s="86" t="inlineStr">
        <is>
          <t>Etapa</t>
        </is>
      </c>
      <c r="B44" s="86" t="inlineStr">
        <is>
          <t>Días</t>
        </is>
      </c>
      <c r="C44" s="86" t="inlineStr">
        <is>
          <t>Fecha Inicio</t>
        </is>
      </c>
    </row>
    <row r="45" ht="14.25" customHeight="1" s="68">
      <c r="A45" s="107" t="inlineStr">
        <is>
          <t>Esquejes</t>
        </is>
      </c>
      <c r="B45" s="108" t="n">
        <v>21</v>
      </c>
      <c r="C45" s="94" t="n"/>
    </row>
    <row r="46" ht="14.25" customHeight="1" s="68">
      <c r="A46" s="110" t="inlineStr">
        <is>
          <t>Trasplante a Vaso</t>
        </is>
      </c>
      <c r="B46" s="111" t="n">
        <v>14</v>
      </c>
      <c r="C46" s="112" t="n"/>
    </row>
    <row r="47" ht="14.25" customHeight="1" s="68">
      <c r="A47" s="107" t="inlineStr">
        <is>
          <t>Trasplante Maceta</t>
        </is>
      </c>
      <c r="B47" s="108" t="n">
        <v>14</v>
      </c>
      <c r="C47" s="109" t="n"/>
    </row>
    <row r="48" ht="14.25" customHeight="1" s="68">
      <c r="A48" s="110" t="inlineStr">
        <is>
          <t>Ingreso a Sala</t>
        </is>
      </c>
      <c r="B48" s="111" t="n">
        <v>16</v>
      </c>
      <c r="C48" s="112">
        <f>C32+1</f>
        <v/>
      </c>
    </row>
    <row r="49" ht="14.25" customHeight="1" s="68">
      <c r="A49" s="107" t="inlineStr">
        <is>
          <t>Floración</t>
        </is>
      </c>
      <c r="B49" s="108" t="n">
        <v>63</v>
      </c>
      <c r="C49" s="109">
        <f>IF(C48="","",C48+B48)</f>
        <v/>
      </c>
    </row>
    <row r="50" ht="14.25" customHeight="1" s="68">
      <c r="A50" s="110" t="inlineStr">
        <is>
          <t>Corte</t>
        </is>
      </c>
      <c r="B50" s="111" t="n">
        <v>2</v>
      </c>
      <c r="C50" s="112">
        <f>IF(C49="","",C49+B49)</f>
        <v/>
      </c>
    </row>
    <row r="51" ht="14.25" customHeight="1" s="68">
      <c r="A51" s="107" t="inlineStr">
        <is>
          <t>Secado</t>
        </is>
      </c>
      <c r="B51" s="108" t="n">
        <v>7</v>
      </c>
      <c r="C51" s="109">
        <f>IF(C50="","",C50+B50)</f>
        <v/>
      </c>
    </row>
    <row r="52" ht="14.25" customHeight="1" s="68">
      <c r="A52" s="110" t="inlineStr">
        <is>
          <t>Procesado</t>
        </is>
      </c>
      <c r="B52" s="111" t="n">
        <v>3</v>
      </c>
      <c r="C52" s="112">
        <f>IF(C51="","",C51+B51)</f>
        <v/>
      </c>
    </row>
    <row r="53" ht="14.25" customHeight="1" s="68">
      <c r="A53" s="107" t="inlineStr">
        <is>
          <t>Disponible</t>
        </is>
      </c>
      <c r="B53" s="108" t="n"/>
      <c r="C53" s="109">
        <f>IF(C52="","",C52+B52)</f>
        <v/>
      </c>
    </row>
    <row r="54" ht="14.25" customHeight="1" s="68">
      <c r="A54" s="114" t="n"/>
      <c r="B54" s="114" t="n"/>
      <c r="C54" s="114" t="n"/>
    </row>
    <row r="55" ht="14.25" customHeight="1" s="68">
      <c r="A55" s="115" t="inlineStr">
        <is>
          <t>VARIEDADES</t>
        </is>
      </c>
      <c r="B55" s="116" t="inlineStr">
        <is>
          <t>Cant.</t>
        </is>
      </c>
      <c r="C55" s="114" t="n"/>
    </row>
    <row r="56" ht="14.25" customHeight="1" s="68">
      <c r="A56" s="93" t="n"/>
      <c r="B56" s="75" t="n"/>
      <c r="C56" s="114" t="n"/>
    </row>
    <row r="57" ht="14.25" customHeight="1" s="68">
      <c r="A57" s="117" t="inlineStr">
        <is>
          <t>TOTAL</t>
        </is>
      </c>
      <c r="B57" s="86">
        <f>SUM(B56:B56)</f>
        <v/>
      </c>
      <c r="C57" s="114" t="n"/>
    </row>
    <row r="58" ht="14.25" customHeight="1" s="68">
      <c r="A58" s="114" t="n"/>
      <c r="B58" s="114" t="n"/>
      <c r="C58" s="114" t="n"/>
    </row>
    <row r="59" ht="14.25" customHeight="1" s="68">
      <c r="A59" s="118" t="inlineStr">
        <is>
          <t>Observaciones:</t>
        </is>
      </c>
      <c r="B59" s="103" t="n"/>
      <c r="C59" s="103" t="n"/>
      <c r="D59" s="103" t="n"/>
      <c r="E59" s="103" t="n"/>
      <c r="F59" s="103" t="n"/>
    </row>
    <row r="60" ht="39.75" customHeight="1" s="68">
      <c r="A60" s="119" t="n"/>
      <c r="B60" s="120" t="n"/>
      <c r="C60" s="120" t="n"/>
      <c r="D60" s="120" t="n"/>
      <c r="E60" s="120" t="n"/>
      <c r="F60" s="120" t="n"/>
    </row>
    <row r="61" ht="14.25" customHeight="1" s="68">
      <c r="A61" s="121" t="n"/>
      <c r="B61" s="122" t="n"/>
      <c r="C61" s="122" t="n"/>
      <c r="D61" s="122" t="n"/>
      <c r="E61" s="122" t="n"/>
      <c r="F61" s="122" t="n"/>
    </row>
    <row r="62" ht="14.25" customHeight="1" s="68">
      <c r="A62" s="114" t="n"/>
      <c r="B62" s="114" t="n"/>
      <c r="C62" s="114" t="n"/>
    </row>
    <row r="63" ht="19.5" customHeight="1" s="68">
      <c r="A63" s="102" t="inlineStr">
        <is>
          <t>CICLO 4</t>
        </is>
      </c>
      <c r="B63" s="103" t="n"/>
      <c r="C63" s="103" t="n"/>
      <c r="D63" s="103" t="n"/>
      <c r="E63" s="103" t="n"/>
      <c r="F63" s="103" t="n"/>
    </row>
    <row r="64" ht="14.25" customHeight="1" s="68">
      <c r="A64" s="86" t="inlineStr">
        <is>
          <t>Etapa</t>
        </is>
      </c>
      <c r="B64" s="86" t="inlineStr">
        <is>
          <t>Días</t>
        </is>
      </c>
      <c r="C64" s="86" t="inlineStr">
        <is>
          <t>Fecha Inicio</t>
        </is>
      </c>
    </row>
    <row r="65" ht="14.25" customHeight="1" s="68">
      <c r="A65" s="107" t="inlineStr">
        <is>
          <t>Esquejes</t>
        </is>
      </c>
      <c r="B65" s="108" t="n">
        <v>21</v>
      </c>
      <c r="C65" s="94" t="n"/>
    </row>
    <row r="66" ht="14.25" customHeight="1" s="68">
      <c r="A66" s="110" t="inlineStr">
        <is>
          <t>Trasplante a Vaso</t>
        </is>
      </c>
      <c r="B66" s="111" t="n">
        <v>14</v>
      </c>
      <c r="C66" s="112" t="n"/>
    </row>
    <row r="67" ht="14.25" customHeight="1" s="68">
      <c r="A67" s="107" t="inlineStr">
        <is>
          <t>Trasplante Maceta</t>
        </is>
      </c>
      <c r="B67" s="108" t="n">
        <v>14</v>
      </c>
      <c r="C67" s="109" t="n"/>
    </row>
    <row r="68" ht="14.25" customHeight="1" s="68">
      <c r="A68" s="110" t="inlineStr">
        <is>
          <t>Ingreso a Sala</t>
        </is>
      </c>
      <c r="B68" s="111" t="n">
        <v>16</v>
      </c>
      <c r="C68" s="112">
        <f>C52+1</f>
        <v/>
      </c>
    </row>
    <row r="69" ht="14.25" customHeight="1" s="68">
      <c r="A69" s="107" t="inlineStr">
        <is>
          <t>Floración</t>
        </is>
      </c>
      <c r="B69" s="108" t="n">
        <v>63</v>
      </c>
      <c r="C69" s="109">
        <f>IF(C68="","",C68+B68)</f>
        <v/>
      </c>
    </row>
    <row r="70" ht="14.25" customHeight="1" s="68">
      <c r="A70" s="110" t="inlineStr">
        <is>
          <t>Corte</t>
        </is>
      </c>
      <c r="B70" s="111" t="n">
        <v>2</v>
      </c>
      <c r="C70" s="112">
        <f>IF(C69="","",C69+B69)</f>
        <v/>
      </c>
    </row>
    <row r="71" ht="14.25" customHeight="1" s="68">
      <c r="A71" s="107" t="inlineStr">
        <is>
          <t>Secado</t>
        </is>
      </c>
      <c r="B71" s="108" t="n">
        <v>7</v>
      </c>
      <c r="C71" s="109">
        <f>IF(C70="","",C70+B70)</f>
        <v/>
      </c>
    </row>
    <row r="72" ht="14.25" customHeight="1" s="68">
      <c r="A72" s="110" t="inlineStr">
        <is>
          <t>Procesado</t>
        </is>
      </c>
      <c r="B72" s="111" t="n">
        <v>3</v>
      </c>
      <c r="C72" s="112">
        <f>IF(C71="","",C71+B71)</f>
        <v/>
      </c>
    </row>
    <row r="73" ht="14.25" customHeight="1" s="68">
      <c r="A73" s="107" t="inlineStr">
        <is>
          <t>Disponible</t>
        </is>
      </c>
      <c r="B73" s="108" t="n"/>
      <c r="C73" s="109">
        <f>IF(C72="","",C72+B72)</f>
        <v/>
      </c>
    </row>
    <row r="74" ht="14.25" customHeight="1" s="68">
      <c r="A74" s="114" t="n"/>
      <c r="B74" s="114" t="n"/>
      <c r="C74" s="114" t="n"/>
    </row>
    <row r="75" ht="14.25" customHeight="1" s="68">
      <c r="A75" s="115" t="inlineStr">
        <is>
          <t>VARIEDADES</t>
        </is>
      </c>
      <c r="B75" s="116" t="inlineStr">
        <is>
          <t>Cant.</t>
        </is>
      </c>
      <c r="C75" s="114" t="n"/>
    </row>
    <row r="76" ht="14.25" customHeight="1" s="68">
      <c r="A76" s="93" t="n"/>
      <c r="B76" s="75" t="n"/>
      <c r="C76" s="114" t="n"/>
    </row>
    <row r="77" ht="14.25" customHeight="1" s="68">
      <c r="A77" s="117" t="inlineStr">
        <is>
          <t>TOTAL</t>
        </is>
      </c>
      <c r="B77" s="86">
        <f>SUM(B76:B76)</f>
        <v/>
      </c>
      <c r="C77" s="114" t="n"/>
    </row>
    <row r="78" ht="14.25" customHeight="1" s="68">
      <c r="A78" s="114" t="n"/>
      <c r="B78" s="114" t="n"/>
      <c r="C78" s="114" t="n"/>
    </row>
    <row r="79" ht="14.25" customHeight="1" s="68">
      <c r="A79" s="118" t="inlineStr">
        <is>
          <t>Observaciones:</t>
        </is>
      </c>
      <c r="B79" s="103" t="n"/>
      <c r="C79" s="103" t="n"/>
      <c r="D79" s="103" t="n"/>
      <c r="E79" s="103" t="n"/>
      <c r="F79" s="103" t="n"/>
    </row>
    <row r="80" ht="39.75" customHeight="1" s="68">
      <c r="A80" s="119" t="n"/>
      <c r="B80" s="120" t="n"/>
      <c r="C80" s="120" t="n"/>
      <c r="D80" s="120" t="n"/>
      <c r="E80" s="120" t="n"/>
      <c r="F80" s="120" t="n"/>
    </row>
    <row r="81" ht="14.25" customHeight="1" s="68">
      <c r="A81" s="121" t="n"/>
      <c r="B81" s="122" t="n"/>
      <c r="C81" s="122" t="n"/>
      <c r="D81" s="122" t="n"/>
      <c r="E81" s="122" t="n"/>
      <c r="F81" s="122" t="n"/>
    </row>
    <row r="82" ht="14.25" customHeight="1" s="68">
      <c r="A82" s="114" t="n"/>
      <c r="B82" s="114" t="n"/>
      <c r="C82" s="114" t="n"/>
    </row>
    <row r="83" ht="19.5" customHeight="1" s="68">
      <c r="A83" s="102" t="inlineStr">
        <is>
          <t>CICLO 5</t>
        </is>
      </c>
      <c r="B83" s="103" t="n"/>
      <c r="C83" s="103" t="n"/>
      <c r="D83" s="103" t="n"/>
      <c r="E83" s="103" t="n"/>
      <c r="F83" s="103" t="n"/>
    </row>
    <row r="84" ht="14.25" customHeight="1" s="68">
      <c r="A84" s="86" t="inlineStr">
        <is>
          <t>Etapa</t>
        </is>
      </c>
      <c r="B84" s="86" t="inlineStr">
        <is>
          <t>Días</t>
        </is>
      </c>
      <c r="C84" s="86" t="inlineStr">
        <is>
          <t>Fecha Inicio</t>
        </is>
      </c>
    </row>
    <row r="85" ht="14.25" customHeight="1" s="68">
      <c r="A85" s="107" t="inlineStr">
        <is>
          <t>Esquejes</t>
        </is>
      </c>
      <c r="B85" s="108" t="n">
        <v>21</v>
      </c>
      <c r="C85" s="94" t="n"/>
    </row>
    <row r="86" ht="14.25" customHeight="1" s="68">
      <c r="A86" s="110" t="inlineStr">
        <is>
          <t>Trasplante a Vaso</t>
        </is>
      </c>
      <c r="B86" s="111" t="n">
        <v>14</v>
      </c>
      <c r="C86" s="112" t="n"/>
    </row>
    <row r="87" ht="14.25" customHeight="1" s="68">
      <c r="A87" s="107" t="inlineStr">
        <is>
          <t>Trasplante Maceta</t>
        </is>
      </c>
      <c r="B87" s="108" t="n">
        <v>14</v>
      </c>
      <c r="C87" s="109" t="n"/>
    </row>
    <row r="88" ht="14.25" customHeight="1" s="68">
      <c r="A88" s="110" t="inlineStr">
        <is>
          <t>Ingreso a Sala</t>
        </is>
      </c>
      <c r="B88" s="111" t="n">
        <v>16</v>
      </c>
      <c r="C88" s="112">
        <f>C72+1</f>
        <v/>
      </c>
    </row>
    <row r="89" ht="14.25" customHeight="1" s="68">
      <c r="A89" s="107" t="inlineStr">
        <is>
          <t>Floración</t>
        </is>
      </c>
      <c r="B89" s="108" t="n">
        <v>63</v>
      </c>
      <c r="C89" s="109">
        <f>IF(C88="","",C88+B88)</f>
        <v/>
      </c>
    </row>
    <row r="90" ht="14.25" customHeight="1" s="68">
      <c r="A90" s="110" t="inlineStr">
        <is>
          <t>Corte</t>
        </is>
      </c>
      <c r="B90" s="111" t="n">
        <v>2</v>
      </c>
      <c r="C90" s="112">
        <f>IF(C89="","",C89+B89)</f>
        <v/>
      </c>
    </row>
    <row r="91" ht="14.25" customHeight="1" s="68">
      <c r="A91" s="107" t="inlineStr">
        <is>
          <t>Secado</t>
        </is>
      </c>
      <c r="B91" s="108" t="n">
        <v>7</v>
      </c>
      <c r="C91" s="109">
        <f>IF(C90="","",C90+B90)</f>
        <v/>
      </c>
    </row>
    <row r="92" ht="14.25" customHeight="1" s="68">
      <c r="A92" s="110" t="inlineStr">
        <is>
          <t>Procesado</t>
        </is>
      </c>
      <c r="B92" s="111" t="n">
        <v>3</v>
      </c>
      <c r="C92" s="112">
        <f>IF(C91="","",C91+B91)</f>
        <v/>
      </c>
    </row>
    <row r="93" ht="14.25" customHeight="1" s="68">
      <c r="A93" s="107" t="inlineStr">
        <is>
          <t>Disponible</t>
        </is>
      </c>
      <c r="B93" s="108" t="n"/>
      <c r="C93" s="109">
        <f>IF(C92="","",C92+B92)</f>
        <v/>
      </c>
    </row>
    <row r="94" ht="14.25" customHeight="1" s="68">
      <c r="A94" s="114" t="n"/>
      <c r="B94" s="114" t="n"/>
      <c r="C94" s="114" t="n"/>
    </row>
    <row r="95" ht="14.25" customHeight="1" s="68">
      <c r="A95" s="115" t="inlineStr">
        <is>
          <t>VARIEDADES</t>
        </is>
      </c>
      <c r="B95" s="116" t="inlineStr">
        <is>
          <t>Cant.</t>
        </is>
      </c>
      <c r="C95" s="114" t="n"/>
    </row>
    <row r="96" ht="14.25" customHeight="1" s="68">
      <c r="A96" s="93" t="n"/>
      <c r="B96" s="75" t="n"/>
      <c r="C96" s="114" t="n"/>
    </row>
    <row r="97" ht="14.25" customHeight="1" s="68">
      <c r="A97" s="117" t="inlineStr">
        <is>
          <t>TOTAL</t>
        </is>
      </c>
      <c r="B97" s="86">
        <f>SUM(B96:B96)</f>
        <v/>
      </c>
      <c r="C97" s="114" t="n"/>
    </row>
    <row r="98" ht="14.25" customHeight="1" s="68">
      <c r="A98" s="114" t="n"/>
      <c r="B98" s="114" t="n"/>
      <c r="C98" s="114" t="n"/>
    </row>
    <row r="99" ht="14.25" customHeight="1" s="68">
      <c r="A99" s="118" t="inlineStr">
        <is>
          <t>Observaciones:</t>
        </is>
      </c>
      <c r="B99" s="103" t="n"/>
      <c r="C99" s="103" t="n"/>
      <c r="D99" s="103" t="n"/>
      <c r="E99" s="103" t="n"/>
      <c r="F99" s="103" t="n"/>
    </row>
    <row r="100" ht="39.75" customHeight="1" s="68">
      <c r="A100" s="119" t="n"/>
      <c r="B100" s="120" t="n"/>
      <c r="C100" s="120" t="n"/>
      <c r="D100" s="120" t="n"/>
      <c r="E100" s="120" t="n"/>
      <c r="F100" s="120" t="n"/>
    </row>
    <row r="101" ht="14.25" customHeight="1" s="68">
      <c r="A101" s="121" t="n"/>
      <c r="B101" s="122" t="n"/>
      <c r="C101" s="122" t="n"/>
      <c r="D101" s="122" t="n"/>
      <c r="E101" s="122" t="n"/>
      <c r="F101" s="122" t="n"/>
    </row>
    <row r="102" ht="14.25" customHeight="1" s="68">
      <c r="A102" s="114" t="n"/>
      <c r="B102" s="114" t="n"/>
      <c r="C102" s="114" t="n"/>
    </row>
  </sheetData>
  <mergeCells count="17">
    <mergeCell ref="A63:F63"/>
    <mergeCell ref="A99:F99"/>
    <mergeCell ref="H1:M1"/>
    <mergeCell ref="A19:F19"/>
    <mergeCell ref="A40:F41"/>
    <mergeCell ref="A1:F1"/>
    <mergeCell ref="A23:F23"/>
    <mergeCell ref="A79:F79"/>
    <mergeCell ref="A80:F81"/>
    <mergeCell ref="A83:F83"/>
    <mergeCell ref="A3:F3"/>
    <mergeCell ref="A100:F101"/>
    <mergeCell ref="A39:F39"/>
    <mergeCell ref="A20:F21"/>
    <mergeCell ref="A60:F61"/>
    <mergeCell ref="A59:F59"/>
    <mergeCell ref="A43:F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1B4332"/>
    <outlinePr summaryBelow="1" summaryRight="1"/>
    <pageSetUpPr fitToPage="0"/>
  </sheetPr>
  <dimension ref="A1:N110"/>
  <sheetViews>
    <sheetView showFormulas="0" showGridLines="0" showRowColHeaders="1" showZeros="1" rightToLeft="0" tabSelected="0" showOutlineSymbols="1" defaultGridColor="1" view="normal" topLeftCell="A92" colorId="64" zoomScale="100" zoomScaleNormal="100" zoomScalePageLayoutView="100" workbookViewId="0">
      <selection pane="topLeft" activeCell="B98" activeCellId="0" sqref="B98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SALA 6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>
        <v>46184</v>
      </c>
      <c r="I3" s="82" t="n">
        <v>5.95</v>
      </c>
      <c r="J3" s="82" t="n">
        <v>900</v>
      </c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Esquejes</t>
        </is>
      </c>
      <c r="B5" s="105" t="n">
        <v>21</v>
      </c>
      <c r="C5" s="106" t="n">
        <v>46058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Trasplante a Vaso</t>
        </is>
      </c>
      <c r="B6" s="105" t="n">
        <v>14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4" t="inlineStr">
        <is>
          <t>Trasplante Maceta</t>
        </is>
      </c>
      <c r="B7" s="105" t="n">
        <v>14</v>
      </c>
      <c r="C7" s="106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04" t="inlineStr">
        <is>
          <t>Ingreso a Sala</t>
        </is>
      </c>
      <c r="B8" s="105" t="n">
        <v>16</v>
      </c>
      <c r="C8" s="106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4" t="inlineStr">
        <is>
          <t>Floración</t>
        </is>
      </c>
      <c r="B9" s="105" t="n">
        <v>63</v>
      </c>
      <c r="C9" s="106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Corte</t>
        </is>
      </c>
      <c r="B10" s="111" t="n">
        <v>2</v>
      </c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07" t="inlineStr">
        <is>
          <t>Secado</t>
        </is>
      </c>
      <c r="B11" s="108" t="n">
        <v>7</v>
      </c>
      <c r="C11" s="109">
        <f>IF(C10="","",C10+B10)</f>
        <v/>
      </c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0" t="inlineStr">
        <is>
          <t>Procesado</t>
        </is>
      </c>
      <c r="B12" s="111" t="n">
        <v>3</v>
      </c>
      <c r="C12" s="112">
        <f>IF(C11="","",C11+B11)</f>
        <v/>
      </c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107" t="inlineStr">
        <is>
          <t>Disponible</t>
        </is>
      </c>
      <c r="B13" s="108" t="n"/>
      <c r="C13" s="109">
        <f>IF(C12="","",C12+B12)</f>
        <v/>
      </c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4" t="n"/>
      <c r="B14" s="114" t="n"/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5" t="inlineStr">
        <is>
          <t>VARIEDADES</t>
        </is>
      </c>
      <c r="B15" s="116" t="inlineStr">
        <is>
          <t>Cant.</t>
        </is>
      </c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Papaya Feno Hunting</t>
        </is>
      </c>
      <c r="B16" s="75" t="n">
        <v>22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93" t="inlineStr">
        <is>
          <t>Cherry Zoda</t>
        </is>
      </c>
      <c r="B17" s="75" t="n">
        <v>19</v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93" t="inlineStr">
        <is>
          <t>Brrberry</t>
        </is>
      </c>
      <c r="B18" s="75" t="n">
        <v>3</v>
      </c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93" t="inlineStr">
        <is>
          <t>Sour nana</t>
        </is>
      </c>
      <c r="B19" s="75" t="n">
        <v>1</v>
      </c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4.25" customHeight="1" s="68">
      <c r="A20" s="93" t="inlineStr">
        <is>
          <t>Spritz</t>
        </is>
      </c>
      <c r="B20" s="75" t="n">
        <v>3</v>
      </c>
      <c r="C20" s="114" t="n"/>
      <c r="H20" s="81" t="n"/>
      <c r="I20" s="82" t="n"/>
      <c r="J20" s="82" t="n"/>
      <c r="K20" s="82" t="n"/>
      <c r="L20" s="82" t="n"/>
      <c r="M20" s="75" t="n"/>
      <c r="N20" s="82" t="n"/>
    </row>
    <row r="21" ht="14.25" customHeight="1" s="68">
      <c r="A21" s="117" t="inlineStr">
        <is>
          <t>TOTAL</t>
        </is>
      </c>
      <c r="B21" s="86">
        <f>SUM(B16:B20)</f>
        <v/>
      </c>
      <c r="C21" s="114" t="n"/>
      <c r="H21" s="81" t="n"/>
      <c r="I21" s="82" t="n"/>
      <c r="J21" s="82" t="n"/>
      <c r="K21" s="82" t="n"/>
      <c r="L21" s="82" t="n"/>
      <c r="M21" s="75" t="n"/>
      <c r="N21" s="82" t="n"/>
    </row>
    <row r="22" ht="14.25" customHeight="1" s="68">
      <c r="A22" s="114" t="n"/>
      <c r="B22" s="114" t="n"/>
      <c r="C22" s="114" t="n"/>
      <c r="H22" s="81" t="n"/>
      <c r="I22" s="82" t="n"/>
      <c r="J22" s="82" t="n"/>
      <c r="K22" s="82" t="n"/>
      <c r="L22" s="82" t="n"/>
      <c r="M22" s="75" t="n"/>
      <c r="N22" s="82" t="n"/>
    </row>
    <row r="23" ht="14.25" customHeight="1" s="68">
      <c r="A23" s="118" t="inlineStr">
        <is>
          <t>Observaciones:</t>
        </is>
      </c>
      <c r="B23" s="103" t="n"/>
      <c r="C23" s="103" t="n"/>
      <c r="D23" s="103" t="n"/>
      <c r="E23" s="103" t="n"/>
      <c r="F23" s="103" t="n"/>
      <c r="H23" s="81" t="n"/>
      <c r="I23" s="82" t="n"/>
      <c r="J23" s="82" t="n"/>
      <c r="K23" s="82" t="n"/>
      <c r="L23" s="82" t="n"/>
      <c r="M23" s="75" t="n"/>
      <c r="N23" s="82" t="n"/>
    </row>
    <row r="24" ht="39.75" customHeight="1" s="68">
      <c r="A24" s="119" t="n"/>
      <c r="B24" s="120" t="n"/>
      <c r="C24" s="120" t="n"/>
      <c r="D24" s="120" t="n"/>
      <c r="E24" s="120" t="n"/>
      <c r="F24" s="120" t="n"/>
      <c r="H24" s="81" t="n"/>
      <c r="I24" s="82" t="n"/>
      <c r="J24" s="82" t="n"/>
      <c r="K24" s="82" t="n"/>
      <c r="L24" s="82" t="n"/>
      <c r="M24" s="75" t="n"/>
      <c r="N24" s="82" t="n"/>
    </row>
    <row r="25" ht="14.25" customHeight="1" s="68">
      <c r="A25" s="121" t="n"/>
      <c r="B25" s="122" t="n"/>
      <c r="C25" s="122" t="n"/>
      <c r="D25" s="122" t="n"/>
      <c r="E25" s="122" t="n"/>
      <c r="F25" s="122" t="n"/>
      <c r="H25" s="81" t="n"/>
      <c r="I25" s="82" t="n"/>
      <c r="J25" s="82" t="n"/>
      <c r="K25" s="82" t="n"/>
      <c r="L25" s="82" t="n"/>
      <c r="M25" s="75" t="n"/>
      <c r="N25" s="82" t="n"/>
    </row>
    <row r="26" ht="14.25" customHeight="1" s="68">
      <c r="A26" s="114" t="n"/>
      <c r="B26" s="114" t="n"/>
      <c r="C26" s="114" t="n"/>
      <c r="H26" s="81" t="n"/>
      <c r="I26" s="82" t="n"/>
      <c r="J26" s="82" t="n"/>
      <c r="K26" s="82" t="n"/>
      <c r="L26" s="82" t="n"/>
      <c r="M26" s="75" t="n"/>
      <c r="N26" s="82" t="n"/>
    </row>
    <row r="27" ht="19.5" customHeight="1" s="68">
      <c r="A27" s="102" t="inlineStr">
        <is>
          <t>CICLO 2</t>
        </is>
      </c>
      <c r="B27" s="103" t="n"/>
      <c r="C27" s="103" t="n"/>
      <c r="D27" s="103" t="n"/>
      <c r="E27" s="103" t="n"/>
      <c r="F27" s="103" t="n"/>
      <c r="H27" s="81" t="n"/>
      <c r="I27" s="82" t="n"/>
      <c r="J27" s="82" t="n"/>
      <c r="K27" s="82" t="n"/>
      <c r="L27" s="82" t="n"/>
      <c r="M27" s="75" t="n"/>
      <c r="N27" s="82" t="n"/>
    </row>
    <row r="28" ht="14.25" customHeight="1" s="68">
      <c r="A28" s="86" t="inlineStr">
        <is>
          <t>Etapa</t>
        </is>
      </c>
      <c r="B28" s="86" t="inlineStr">
        <is>
          <t>Días</t>
        </is>
      </c>
      <c r="C28" s="86" t="inlineStr">
        <is>
          <t>Fecha Inicio</t>
        </is>
      </c>
      <c r="H28" s="81" t="n"/>
      <c r="I28" s="82" t="n"/>
      <c r="J28" s="82" t="n"/>
      <c r="K28" s="82" t="n"/>
      <c r="L28" s="82" t="n"/>
      <c r="N28" s="82" t="n"/>
    </row>
    <row r="29" ht="14.25" customHeight="1" s="68">
      <c r="A29" s="107" t="inlineStr">
        <is>
          <t>Esquejes</t>
        </is>
      </c>
      <c r="B29" s="108" t="n">
        <v>21</v>
      </c>
      <c r="C29" s="94" t="n"/>
      <c r="H29" s="81" t="n"/>
      <c r="I29" s="82" t="n"/>
      <c r="J29" s="82" t="n"/>
      <c r="K29" s="82" t="n"/>
      <c r="L29" s="82" t="n"/>
      <c r="N29" s="82" t="n"/>
    </row>
    <row r="30" ht="14.25" customHeight="1" s="68">
      <c r="A30" s="110" t="inlineStr">
        <is>
          <t>Trasplante a Vaso</t>
        </is>
      </c>
      <c r="B30" s="111" t="n">
        <v>14</v>
      </c>
      <c r="C30" s="112" t="n"/>
      <c r="H30" s="81" t="n"/>
      <c r="I30" s="82" t="n"/>
      <c r="J30" s="82" t="n"/>
      <c r="K30" s="82" t="n"/>
      <c r="L30" s="82" t="n"/>
      <c r="N30" s="82" t="n"/>
    </row>
    <row r="31" ht="14.25" customHeight="1" s="68">
      <c r="A31" s="107" t="inlineStr">
        <is>
          <t>Trasplante Maceta</t>
        </is>
      </c>
      <c r="B31" s="108" t="n">
        <v>14</v>
      </c>
      <c r="C31" s="109" t="n"/>
    </row>
    <row r="32" ht="14.25" customHeight="1" s="68">
      <c r="A32" s="110" t="inlineStr">
        <is>
          <t>Ingreso a Sala</t>
        </is>
      </c>
      <c r="B32" s="111" t="n">
        <v>16</v>
      </c>
      <c r="C32" s="112">
        <f>C12+1</f>
        <v/>
      </c>
    </row>
    <row r="33" ht="14.25" customHeight="1" s="68">
      <c r="A33" s="107" t="inlineStr">
        <is>
          <t>Floración</t>
        </is>
      </c>
      <c r="B33" s="108" t="n">
        <v>63</v>
      </c>
      <c r="C33" s="109">
        <f>IF(C32="","",C32+B32)</f>
        <v/>
      </c>
    </row>
    <row r="34" ht="14.25" customHeight="1" s="68">
      <c r="A34" s="110" t="inlineStr">
        <is>
          <t>Corte</t>
        </is>
      </c>
      <c r="B34" s="111" t="n">
        <v>2</v>
      </c>
      <c r="C34" s="112">
        <f>IF(C33="","",C33+B33)</f>
        <v/>
      </c>
    </row>
    <row r="35" ht="14.25" customHeight="1" s="68">
      <c r="A35" s="107" t="inlineStr">
        <is>
          <t>Secado</t>
        </is>
      </c>
      <c r="B35" s="108" t="n">
        <v>7</v>
      </c>
      <c r="C35" s="109">
        <f>IF(C34="","",C34+B34)</f>
        <v/>
      </c>
    </row>
    <row r="36" ht="14.25" customHeight="1" s="68">
      <c r="A36" s="110" t="inlineStr">
        <is>
          <t>Procesado</t>
        </is>
      </c>
      <c r="B36" s="111" t="n">
        <v>3</v>
      </c>
      <c r="C36" s="112">
        <f>IF(C35="","",C35+B35)</f>
        <v/>
      </c>
    </row>
    <row r="37" ht="14.25" customHeight="1" s="68">
      <c r="A37" s="107" t="inlineStr">
        <is>
          <t>Disponible</t>
        </is>
      </c>
      <c r="B37" s="108" t="n"/>
      <c r="C37" s="109">
        <f>IF(C36="","",C36+B36)</f>
        <v/>
      </c>
    </row>
    <row r="38" ht="14.25" customHeight="1" s="68">
      <c r="A38" s="114" t="n"/>
      <c r="B38" s="114" t="n"/>
      <c r="C38" s="114" t="n"/>
    </row>
    <row r="39" ht="14.25" customHeight="1" s="68">
      <c r="A39" s="115" t="inlineStr">
        <is>
          <t>VARIEDADES</t>
        </is>
      </c>
      <c r="B39" s="116" t="inlineStr">
        <is>
          <t>Cant.</t>
        </is>
      </c>
      <c r="C39" s="114" t="n"/>
    </row>
    <row r="40" ht="14.25" customHeight="1" s="68">
      <c r="A40" s="93" t="n"/>
      <c r="B40" s="75" t="n"/>
      <c r="C40" s="114" t="n"/>
    </row>
    <row r="41" ht="14.25" customHeight="1" s="68">
      <c r="A41" s="93" t="n"/>
      <c r="B41" s="75" t="n"/>
      <c r="C41" s="114" t="n"/>
    </row>
    <row r="42" ht="14.25" customHeight="1" s="68">
      <c r="A42" s="117" t="inlineStr">
        <is>
          <t>TOTAL</t>
        </is>
      </c>
      <c r="B42" s="86">
        <f>SUM(B40:B41)</f>
        <v/>
      </c>
      <c r="C42" s="114" t="n"/>
    </row>
    <row r="43" ht="14.25" customHeight="1" s="68">
      <c r="A43" s="114" t="n"/>
      <c r="B43" s="114" t="n"/>
      <c r="C43" s="114" t="n"/>
    </row>
    <row r="44" ht="14.25" customHeight="1" s="68">
      <c r="A44" s="118" t="inlineStr">
        <is>
          <t>Observaciones:</t>
        </is>
      </c>
      <c r="B44" s="103" t="n"/>
      <c r="C44" s="103" t="n"/>
      <c r="D44" s="103" t="n"/>
      <c r="E44" s="103" t="n"/>
      <c r="F44" s="103" t="n"/>
    </row>
    <row r="45" ht="39.75" customHeight="1" s="68">
      <c r="A45" s="119" t="n"/>
      <c r="B45" s="120" t="n"/>
      <c r="C45" s="120" t="n"/>
      <c r="D45" s="120" t="n"/>
      <c r="E45" s="120" t="n"/>
      <c r="F45" s="120" t="n"/>
    </row>
    <row r="46" ht="14.25" customHeight="1" s="68">
      <c r="A46" s="121" t="n"/>
      <c r="B46" s="122" t="n"/>
      <c r="C46" s="122" t="n"/>
      <c r="D46" s="122" t="n"/>
      <c r="E46" s="122" t="n"/>
      <c r="F46" s="122" t="n"/>
    </row>
    <row r="47" ht="14.25" customHeight="1" s="68">
      <c r="A47" s="114" t="n"/>
      <c r="B47" s="114" t="n"/>
      <c r="C47" s="114" t="n"/>
    </row>
    <row r="48" ht="19.5" customHeight="1" s="68">
      <c r="A48" s="102" t="inlineStr">
        <is>
          <t>CICLO 3</t>
        </is>
      </c>
      <c r="B48" s="103" t="n"/>
      <c r="C48" s="103" t="n"/>
      <c r="D48" s="103" t="n"/>
      <c r="E48" s="103" t="n"/>
      <c r="F48" s="103" t="n"/>
    </row>
    <row r="49" ht="14.25" customHeight="1" s="68">
      <c r="A49" s="86" t="inlineStr">
        <is>
          <t>Etapa</t>
        </is>
      </c>
      <c r="B49" s="86" t="inlineStr">
        <is>
          <t>Días</t>
        </is>
      </c>
      <c r="C49" s="86" t="inlineStr">
        <is>
          <t>Fecha Inicio</t>
        </is>
      </c>
    </row>
    <row r="50" ht="14.25" customHeight="1" s="68">
      <c r="A50" s="107" t="inlineStr">
        <is>
          <t>Esquejes</t>
        </is>
      </c>
      <c r="B50" s="108" t="n">
        <v>21</v>
      </c>
      <c r="C50" s="94" t="n"/>
    </row>
    <row r="51" ht="14.25" customHeight="1" s="68">
      <c r="A51" s="110" t="inlineStr">
        <is>
          <t>Trasplante a Vaso</t>
        </is>
      </c>
      <c r="B51" s="111" t="n">
        <v>14</v>
      </c>
      <c r="C51" s="112" t="n"/>
    </row>
    <row r="52" ht="14.25" customHeight="1" s="68">
      <c r="A52" s="107" t="inlineStr">
        <is>
          <t>Trasplante Maceta</t>
        </is>
      </c>
      <c r="B52" s="108" t="n">
        <v>14</v>
      </c>
      <c r="C52" s="109" t="n"/>
    </row>
    <row r="53" ht="14.25" customHeight="1" s="68">
      <c r="A53" s="110" t="inlineStr">
        <is>
          <t>Ingreso a Sala</t>
        </is>
      </c>
      <c r="B53" s="111" t="n">
        <v>16</v>
      </c>
      <c r="C53" s="112">
        <f>C36+1</f>
        <v/>
      </c>
    </row>
    <row r="54" ht="14.25" customHeight="1" s="68">
      <c r="A54" s="107" t="inlineStr">
        <is>
          <t>Floración</t>
        </is>
      </c>
      <c r="B54" s="108" t="n">
        <v>63</v>
      </c>
      <c r="C54" s="109">
        <f>IF(C53="","",C53+B53)</f>
        <v/>
      </c>
    </row>
    <row r="55" ht="14.25" customHeight="1" s="68">
      <c r="A55" s="110" t="inlineStr">
        <is>
          <t>Corte</t>
        </is>
      </c>
      <c r="B55" s="111" t="n">
        <v>2</v>
      </c>
      <c r="C55" s="112">
        <f>IF(C54="","",C54+B54)</f>
        <v/>
      </c>
    </row>
    <row r="56" ht="14.25" customHeight="1" s="68">
      <c r="A56" s="107" t="inlineStr">
        <is>
          <t>Secado</t>
        </is>
      </c>
      <c r="B56" s="108" t="n">
        <v>7</v>
      </c>
      <c r="C56" s="109">
        <f>IF(C55="","",C55+B55)</f>
        <v/>
      </c>
    </row>
    <row r="57" ht="14.25" customHeight="1" s="68">
      <c r="A57" s="110" t="inlineStr">
        <is>
          <t>Procesado</t>
        </is>
      </c>
      <c r="B57" s="111" t="n">
        <v>3</v>
      </c>
      <c r="C57" s="112">
        <f>IF(C56="","",C56+B56)</f>
        <v/>
      </c>
    </row>
    <row r="58" ht="14.25" customHeight="1" s="68">
      <c r="A58" s="107" t="inlineStr">
        <is>
          <t>Disponible</t>
        </is>
      </c>
      <c r="B58" s="108" t="n"/>
      <c r="C58" s="109">
        <f>IF(C57="","",C57+B57)</f>
        <v/>
      </c>
    </row>
    <row r="59" ht="14.25" customHeight="1" s="68">
      <c r="A59" s="114" t="n"/>
      <c r="B59" s="114" t="n"/>
      <c r="C59" s="114" t="n"/>
    </row>
    <row r="60" ht="14.25" customHeight="1" s="68">
      <c r="A60" s="115" t="inlineStr">
        <is>
          <t>VARIEDADES</t>
        </is>
      </c>
      <c r="B60" s="116" t="inlineStr">
        <is>
          <t>Cant.</t>
        </is>
      </c>
      <c r="C60" s="114" t="n"/>
    </row>
    <row r="61" ht="14.25" customHeight="1" s="68">
      <c r="A61" s="93" t="n"/>
      <c r="B61" s="75" t="n"/>
      <c r="C61" s="114" t="n"/>
    </row>
    <row r="62" ht="14.25" customHeight="1" s="68">
      <c r="A62" s="93" t="n"/>
      <c r="B62" s="75" t="n"/>
      <c r="C62" s="114" t="n"/>
    </row>
    <row r="63" ht="14.25" customHeight="1" s="68">
      <c r="A63" s="117" t="inlineStr">
        <is>
          <t>TOTAL</t>
        </is>
      </c>
      <c r="B63" s="86">
        <f>SUM(B61:B62)</f>
        <v/>
      </c>
      <c r="C63" s="114" t="n"/>
    </row>
    <row r="64" ht="14.25" customHeight="1" s="68">
      <c r="A64" s="114" t="n"/>
      <c r="B64" s="114" t="n"/>
      <c r="C64" s="114" t="n"/>
    </row>
    <row r="65" ht="14.25" customHeight="1" s="68">
      <c r="A65" s="118" t="inlineStr">
        <is>
          <t>Observaciones:</t>
        </is>
      </c>
      <c r="B65" s="103" t="n"/>
      <c r="C65" s="103" t="n"/>
      <c r="D65" s="103" t="n"/>
      <c r="E65" s="103" t="n"/>
      <c r="F65" s="103" t="n"/>
    </row>
    <row r="66" ht="39.75" customHeight="1" s="68">
      <c r="A66" s="119" t="n"/>
      <c r="B66" s="120" t="n"/>
      <c r="C66" s="120" t="n"/>
      <c r="D66" s="120" t="n"/>
      <c r="E66" s="120" t="n"/>
      <c r="F66" s="120" t="n"/>
    </row>
    <row r="67" ht="14.25" customHeight="1" s="68">
      <c r="A67" s="121" t="n"/>
      <c r="B67" s="122" t="n"/>
      <c r="C67" s="122" t="n"/>
      <c r="D67" s="122" t="n"/>
      <c r="E67" s="122" t="n"/>
      <c r="F67" s="122" t="n"/>
    </row>
    <row r="68" ht="14.25" customHeight="1" s="68">
      <c r="A68" s="114" t="n"/>
      <c r="B68" s="114" t="n"/>
      <c r="C68" s="114" t="n"/>
    </row>
    <row r="69" ht="19.5" customHeight="1" s="68">
      <c r="A69" s="102" t="inlineStr">
        <is>
          <t>CICLO 4</t>
        </is>
      </c>
      <c r="B69" s="103" t="n"/>
      <c r="C69" s="103" t="n"/>
      <c r="D69" s="103" t="n"/>
      <c r="E69" s="103" t="n"/>
      <c r="F69" s="103" t="n"/>
    </row>
    <row r="70" ht="14.25" customHeight="1" s="68">
      <c r="A70" s="86" t="inlineStr">
        <is>
          <t>Etapa</t>
        </is>
      </c>
      <c r="B70" s="86" t="inlineStr">
        <is>
          <t>Días</t>
        </is>
      </c>
      <c r="C70" s="86" t="inlineStr">
        <is>
          <t>Fecha Inicio</t>
        </is>
      </c>
    </row>
    <row r="71" ht="14.25" customHeight="1" s="68">
      <c r="A71" s="107" t="inlineStr">
        <is>
          <t>Esquejes</t>
        </is>
      </c>
      <c r="B71" s="108" t="n">
        <v>21</v>
      </c>
      <c r="C71" s="94" t="n"/>
    </row>
    <row r="72" ht="14.25" customHeight="1" s="68">
      <c r="A72" s="110" t="inlineStr">
        <is>
          <t>Trasplante a Vaso</t>
        </is>
      </c>
      <c r="B72" s="111" t="n">
        <v>14</v>
      </c>
      <c r="C72" s="112" t="n"/>
    </row>
    <row r="73" ht="14.25" customHeight="1" s="68">
      <c r="A73" s="107" t="inlineStr">
        <is>
          <t>Trasplante Maceta</t>
        </is>
      </c>
      <c r="B73" s="108" t="n">
        <v>14</v>
      </c>
      <c r="C73" s="109" t="n"/>
    </row>
    <row r="74" ht="14.25" customHeight="1" s="68">
      <c r="A74" s="110" t="inlineStr">
        <is>
          <t>Ingreso a Sala</t>
        </is>
      </c>
      <c r="B74" s="111" t="n">
        <v>16</v>
      </c>
      <c r="C74" s="112">
        <f>C57+1</f>
        <v/>
      </c>
    </row>
    <row r="75" ht="14.25" customHeight="1" s="68">
      <c r="A75" s="107" t="inlineStr">
        <is>
          <t>Floración</t>
        </is>
      </c>
      <c r="B75" s="108" t="n">
        <v>63</v>
      </c>
      <c r="C75" s="109">
        <f>IF(C74="","",C74+B74)</f>
        <v/>
      </c>
    </row>
    <row r="76" ht="14.25" customHeight="1" s="68">
      <c r="A76" s="110" t="inlineStr">
        <is>
          <t>Corte</t>
        </is>
      </c>
      <c r="B76" s="111" t="n">
        <v>2</v>
      </c>
      <c r="C76" s="112">
        <f>IF(C75="","",C75+B75)</f>
        <v/>
      </c>
    </row>
    <row r="77" ht="14.25" customHeight="1" s="68">
      <c r="A77" s="107" t="inlineStr">
        <is>
          <t>Secado</t>
        </is>
      </c>
      <c r="B77" s="108" t="n">
        <v>7</v>
      </c>
      <c r="C77" s="109">
        <f>IF(C76="","",C76+B76)</f>
        <v/>
      </c>
    </row>
    <row r="78" ht="14.25" customHeight="1" s="68">
      <c r="A78" s="110" t="inlineStr">
        <is>
          <t>Procesado</t>
        </is>
      </c>
      <c r="B78" s="111" t="n">
        <v>3</v>
      </c>
      <c r="C78" s="112">
        <f>IF(C77="","",C77+B77)</f>
        <v/>
      </c>
    </row>
    <row r="79" ht="14.25" customHeight="1" s="68">
      <c r="A79" s="107" t="inlineStr">
        <is>
          <t>Disponible</t>
        </is>
      </c>
      <c r="B79" s="108" t="n"/>
      <c r="C79" s="109">
        <f>IF(C78="","",C78+B78)</f>
        <v/>
      </c>
    </row>
    <row r="80" ht="14.25" customHeight="1" s="68">
      <c r="A80" s="114" t="n"/>
      <c r="B80" s="114" t="n"/>
      <c r="C80" s="114" t="n"/>
    </row>
    <row r="81" ht="14.25" customHeight="1" s="68">
      <c r="A81" s="115" t="inlineStr">
        <is>
          <t>VARIEDADES</t>
        </is>
      </c>
      <c r="B81" s="116" t="inlineStr">
        <is>
          <t>Cant.</t>
        </is>
      </c>
      <c r="C81" s="114" t="n"/>
    </row>
    <row r="82" ht="14.25" customHeight="1" s="68">
      <c r="A82" s="93" t="n"/>
      <c r="B82" s="75" t="n"/>
      <c r="C82" s="114" t="n"/>
    </row>
    <row r="83" ht="14.25" customHeight="1" s="68">
      <c r="A83" s="93" t="n"/>
      <c r="B83" s="75" t="n"/>
      <c r="C83" s="114" t="n"/>
    </row>
    <row r="84" ht="14.25" customHeight="1" s="68">
      <c r="A84" s="117" t="inlineStr">
        <is>
          <t>TOTAL</t>
        </is>
      </c>
      <c r="B84" s="86">
        <f>SUM(B82:B83)</f>
        <v/>
      </c>
      <c r="C84" s="114" t="n"/>
    </row>
    <row r="85" ht="14.25" customHeight="1" s="68">
      <c r="A85" s="114" t="n"/>
      <c r="B85" s="114" t="n"/>
      <c r="C85" s="114" t="n"/>
    </row>
    <row r="86" ht="14.25" customHeight="1" s="68">
      <c r="A86" s="118" t="inlineStr">
        <is>
          <t>Observaciones:</t>
        </is>
      </c>
      <c r="B86" s="103" t="n"/>
      <c r="C86" s="103" t="n"/>
      <c r="D86" s="103" t="n"/>
      <c r="E86" s="103" t="n"/>
      <c r="F86" s="103" t="n"/>
    </row>
    <row r="87" ht="39.75" customHeight="1" s="68">
      <c r="A87" s="119" t="n"/>
      <c r="B87" s="120" t="n"/>
      <c r="C87" s="120" t="n"/>
      <c r="D87" s="120" t="n"/>
      <c r="E87" s="120" t="n"/>
      <c r="F87" s="120" t="n"/>
    </row>
    <row r="88" ht="14.25" customHeight="1" s="68">
      <c r="A88" s="121" t="n"/>
      <c r="B88" s="122" t="n"/>
      <c r="C88" s="122" t="n"/>
      <c r="D88" s="122" t="n"/>
      <c r="E88" s="122" t="n"/>
      <c r="F88" s="122" t="n"/>
    </row>
    <row r="89" ht="14.25" customHeight="1" s="68">
      <c r="A89" s="114" t="n"/>
      <c r="B89" s="114" t="n"/>
      <c r="C89" s="114" t="n"/>
    </row>
    <row r="90" ht="19.5" customHeight="1" s="68">
      <c r="A90" s="102" t="inlineStr">
        <is>
          <t>CICLO 5</t>
        </is>
      </c>
      <c r="B90" s="103" t="n"/>
      <c r="C90" s="103" t="n"/>
      <c r="D90" s="103" t="n"/>
      <c r="E90" s="103" t="n"/>
      <c r="F90" s="103" t="n"/>
    </row>
    <row r="91" ht="14.25" customHeight="1" s="68">
      <c r="A91" s="86" t="inlineStr">
        <is>
          <t>Etapa</t>
        </is>
      </c>
      <c r="B91" s="86" t="inlineStr">
        <is>
          <t>Días</t>
        </is>
      </c>
      <c r="C91" s="86" t="inlineStr">
        <is>
          <t>Fecha Inicio</t>
        </is>
      </c>
    </row>
    <row r="92" ht="14.25" customHeight="1" s="68">
      <c r="A92" s="107" t="inlineStr">
        <is>
          <t>Esquejes</t>
        </is>
      </c>
      <c r="B92" s="108" t="n">
        <v>21</v>
      </c>
      <c r="C92" s="94" t="n"/>
    </row>
    <row r="93" ht="14.25" customHeight="1" s="68">
      <c r="A93" s="110" t="inlineStr">
        <is>
          <t>Trasplante a Vaso</t>
        </is>
      </c>
      <c r="B93" s="111" t="n">
        <v>14</v>
      </c>
      <c r="C93" s="112" t="n"/>
    </row>
    <row r="94" ht="14.25" customHeight="1" s="68">
      <c r="A94" s="107" t="inlineStr">
        <is>
          <t>Trasplante Maceta</t>
        </is>
      </c>
      <c r="B94" s="108" t="n">
        <v>14</v>
      </c>
      <c r="C94" s="109" t="n"/>
    </row>
    <row r="95" ht="14.25" customHeight="1" s="68">
      <c r="A95" s="110" t="inlineStr">
        <is>
          <t>Ingreso a Sala</t>
        </is>
      </c>
      <c r="B95" s="111" t="n">
        <v>16</v>
      </c>
      <c r="C95" s="112">
        <f>C78+1</f>
        <v/>
      </c>
    </row>
    <row r="96" ht="14.25" customHeight="1" s="68">
      <c r="A96" s="107" t="inlineStr">
        <is>
          <t>Floración</t>
        </is>
      </c>
      <c r="B96" s="108" t="n">
        <v>63</v>
      </c>
      <c r="C96" s="109">
        <f>IF(C95="","",C95+B95)</f>
        <v/>
      </c>
    </row>
    <row r="97" ht="14.25" customHeight="1" s="68">
      <c r="A97" s="110" t="inlineStr">
        <is>
          <t>Corte</t>
        </is>
      </c>
      <c r="B97" s="111" t="n">
        <v>2</v>
      </c>
      <c r="C97" s="112">
        <f>IF(C96="","",C96+B96)</f>
        <v/>
      </c>
    </row>
    <row r="98" ht="14.25" customHeight="1" s="68">
      <c r="A98" s="107" t="inlineStr">
        <is>
          <t>Secado</t>
        </is>
      </c>
      <c r="B98" s="108" t="n">
        <v>7</v>
      </c>
      <c r="C98" s="109">
        <f>IF(C97="","",C97+B97)</f>
        <v/>
      </c>
    </row>
    <row r="99" ht="14.25" customHeight="1" s="68">
      <c r="A99" s="110" t="inlineStr">
        <is>
          <t>Procesado</t>
        </is>
      </c>
      <c r="B99" s="111" t="n">
        <v>3</v>
      </c>
      <c r="C99" s="112">
        <f>IF(C98="","",C98+B98)</f>
        <v/>
      </c>
    </row>
    <row r="100" ht="14.25" customHeight="1" s="68">
      <c r="A100" s="107" t="inlineStr">
        <is>
          <t>Disponible</t>
        </is>
      </c>
      <c r="B100" s="108" t="n"/>
      <c r="C100" s="109">
        <f>IF(C99="","",C99+B99)</f>
        <v/>
      </c>
    </row>
    <row r="101" ht="14.25" customHeight="1" s="68">
      <c r="A101" s="114" t="n"/>
      <c r="B101" s="114" t="n"/>
      <c r="C101" s="114" t="n"/>
    </row>
    <row r="102" ht="14.25" customHeight="1" s="68">
      <c r="A102" s="115" t="inlineStr">
        <is>
          <t>VARIEDADES</t>
        </is>
      </c>
      <c r="B102" s="116" t="inlineStr">
        <is>
          <t>Cant.</t>
        </is>
      </c>
      <c r="C102" s="114" t="n"/>
    </row>
    <row r="103" ht="14.25" customHeight="1" s="68">
      <c r="A103" s="93" t="n"/>
      <c r="B103" s="75" t="n"/>
      <c r="C103" s="114" t="n"/>
    </row>
    <row r="104" ht="14.25" customHeight="1" s="68">
      <c r="A104" s="93" t="n"/>
      <c r="B104" s="75" t="n"/>
      <c r="C104" s="114" t="n"/>
    </row>
    <row r="105" ht="14.25" customHeight="1" s="68">
      <c r="A105" s="117" t="inlineStr">
        <is>
          <t>TOTAL</t>
        </is>
      </c>
      <c r="B105" s="86">
        <f>SUM(B103:B104)</f>
        <v/>
      </c>
      <c r="C105" s="114" t="n"/>
    </row>
    <row r="106" ht="14.25" customHeight="1" s="68">
      <c r="A106" s="114" t="n"/>
      <c r="B106" s="114" t="n"/>
      <c r="C106" s="114" t="n"/>
    </row>
    <row r="107" ht="14.25" customHeight="1" s="68">
      <c r="A107" s="118" t="inlineStr">
        <is>
          <t>Observaciones:</t>
        </is>
      </c>
      <c r="B107" s="103" t="n"/>
      <c r="C107" s="103" t="n"/>
      <c r="D107" s="103" t="n"/>
      <c r="E107" s="103" t="n"/>
      <c r="F107" s="103" t="n"/>
    </row>
    <row r="108" ht="39.75" customHeight="1" s="68">
      <c r="A108" s="119" t="n"/>
      <c r="B108" s="120" t="n"/>
      <c r="C108" s="120" t="n"/>
      <c r="D108" s="120" t="n"/>
      <c r="E108" s="120" t="n"/>
      <c r="F108" s="120" t="n"/>
    </row>
    <row r="109" ht="14.25" customHeight="1" s="68">
      <c r="A109" s="121" t="n"/>
      <c r="B109" s="122" t="n"/>
      <c r="C109" s="122" t="n"/>
      <c r="D109" s="122" t="n"/>
      <c r="E109" s="122" t="n"/>
      <c r="F109" s="122" t="n"/>
    </row>
    <row r="110" ht="14.25" customHeight="1" s="68">
      <c r="A110" s="114" t="n"/>
      <c r="B110" s="114" t="n"/>
      <c r="C110" s="114" t="n"/>
    </row>
  </sheetData>
  <mergeCells count="17">
    <mergeCell ref="A45:F46"/>
    <mergeCell ref="A107:F107"/>
    <mergeCell ref="H1:M1"/>
    <mergeCell ref="A90:F90"/>
    <mergeCell ref="A44:F44"/>
    <mergeCell ref="A1:F1"/>
    <mergeCell ref="A23:F23"/>
    <mergeCell ref="A66:F67"/>
    <mergeCell ref="A27:F27"/>
    <mergeCell ref="A87:F88"/>
    <mergeCell ref="A24:F25"/>
    <mergeCell ref="A48:F48"/>
    <mergeCell ref="A3:F3"/>
    <mergeCell ref="A69:F69"/>
    <mergeCell ref="A108:F109"/>
    <mergeCell ref="A86:F86"/>
    <mergeCell ref="A65:F6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40916C"/>
    <outlinePr summaryBelow="1" summaryRight="1"/>
    <pageSetUpPr fitToPage="0"/>
  </sheetPr>
  <dimension ref="A1:N94"/>
  <sheetViews>
    <sheetView showFormulas="0" showGridLines="0" showRowColHeaders="1" showZeros="1" rightToLeft="0" tabSelected="0" showOutlineSymbols="1" defaultGridColor="1" view="normal" topLeftCell="A56" colorId="64" zoomScale="100" zoomScaleNormal="100" zoomScalePageLayoutView="100" workbookViewId="0">
      <selection pane="topLeft" activeCell="B15" activeCellId="0" sqref="B15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CARPA 1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/>
      <c r="I3" s="82" t="n"/>
      <c r="J3" s="82" t="n"/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Ingreso a Carpa</t>
        </is>
      </c>
      <c r="B5" s="105" t="n">
        <v>20</v>
      </c>
      <c r="C5" s="106" t="n">
        <v>46178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10" t="inlineStr">
        <is>
          <t>Floración</t>
        </is>
      </c>
      <c r="B6" s="111" t="n">
        <v>63</v>
      </c>
      <c r="C6" s="112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7" t="inlineStr">
        <is>
          <t>Corte</t>
        </is>
      </c>
      <c r="B7" s="108" t="n">
        <v>1</v>
      </c>
      <c r="C7" s="109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10" t="inlineStr">
        <is>
          <t>Secado</t>
        </is>
      </c>
      <c r="B8" s="111" t="n">
        <v>7</v>
      </c>
      <c r="C8" s="112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7" t="inlineStr">
        <is>
          <t>Procesado</t>
        </is>
      </c>
      <c r="B9" s="108" t="n">
        <v>3</v>
      </c>
      <c r="C9" s="109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Disponible</t>
        </is>
      </c>
      <c r="B10" s="111" t="n"/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14" t="n"/>
      <c r="B11" s="114" t="n"/>
      <c r="C11" s="114" t="n"/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5" t="inlineStr">
        <is>
          <t>VARIEDADES</t>
        </is>
      </c>
      <c r="B12" s="116" t="inlineStr">
        <is>
          <t>Cant.</t>
        </is>
      </c>
      <c r="C12" s="114" t="n"/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93" t="inlineStr">
        <is>
          <t>Cherry Zoda</t>
        </is>
      </c>
      <c r="B13" s="75" t="n">
        <v>3</v>
      </c>
      <c r="C13" s="114" t="n"/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93" t="inlineStr">
        <is>
          <t>Hot tub time</t>
        </is>
      </c>
      <c r="B14" s="75" t="n">
        <v>2</v>
      </c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93" t="n"/>
      <c r="B15" s="75" t="n"/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93" t="inlineStr">
        <is>
          <t>Papaya Feno Hunting</t>
        </is>
      </c>
      <c r="B16" s="75" t="n">
        <v>5</v>
      </c>
      <c r="C16" s="114" t="n"/>
      <c r="H16" s="81" t="n"/>
      <c r="I16" s="82" t="n"/>
      <c r="J16" s="82" t="n"/>
      <c r="K16" s="82" t="n"/>
      <c r="L16" s="82" t="n"/>
      <c r="M16" s="75" t="n"/>
      <c r="N16" s="82" t="n"/>
    </row>
    <row r="17" ht="14.25" customHeight="1" s="68">
      <c r="A17" s="117" t="inlineStr">
        <is>
          <t>TOTAL</t>
        </is>
      </c>
      <c r="B17" s="86">
        <f>SUM(B13:B16)</f>
        <v/>
      </c>
      <c r="C17" s="114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14" t="n"/>
      <c r="B18" s="114" t="n"/>
      <c r="C18" s="114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8" t="inlineStr">
        <is>
          <t>Observaciones:</t>
        </is>
      </c>
      <c r="B19" s="103" t="n"/>
      <c r="C19" s="103" t="n"/>
      <c r="D19" s="103" t="n"/>
      <c r="E19" s="103" t="n"/>
      <c r="F19" s="103" t="n"/>
      <c r="H19" s="81" t="n"/>
      <c r="I19" s="82" t="n"/>
      <c r="J19" s="82" t="n"/>
      <c r="K19" s="82" t="n"/>
      <c r="L19" s="82" t="n"/>
      <c r="M19" s="75" t="n"/>
      <c r="N19" s="82" t="n"/>
    </row>
    <row r="20" ht="39.75" customHeight="1" s="68">
      <c r="A20" s="119" t="n"/>
      <c r="B20" s="120" t="n"/>
      <c r="C20" s="120" t="n"/>
      <c r="D20" s="120" t="n"/>
      <c r="E20" s="120" t="n"/>
      <c r="F20" s="120" t="n"/>
      <c r="H20" s="81" t="n"/>
      <c r="I20" s="82" t="n"/>
      <c r="J20" s="82" t="n"/>
      <c r="K20" s="82" t="n"/>
      <c r="L20" s="82" t="n"/>
      <c r="N20" s="82" t="n"/>
    </row>
    <row r="21" ht="14.25" customHeight="1" s="68">
      <c r="A21" s="121" t="n"/>
      <c r="B21" s="122" t="n"/>
      <c r="C21" s="122" t="n"/>
      <c r="D21" s="122" t="n"/>
      <c r="E21" s="122" t="n"/>
      <c r="F21" s="122" t="n"/>
      <c r="H21" s="81" t="n"/>
      <c r="I21" s="82" t="n"/>
      <c r="J21" s="82" t="n"/>
      <c r="K21" s="82" t="n"/>
      <c r="L21" s="82" t="n"/>
      <c r="N21" s="82" t="n"/>
    </row>
    <row r="22" ht="14.25" customHeight="1" s="68">
      <c r="A22" s="114" t="n"/>
      <c r="B22" s="114" t="n"/>
      <c r="C22" s="114" t="n"/>
    </row>
    <row r="23" ht="19.5" customHeight="1" s="68">
      <c r="A23" s="102" t="inlineStr">
        <is>
          <t>CICLO 2</t>
        </is>
      </c>
      <c r="B23" s="103" t="n"/>
      <c r="C23" s="103" t="n"/>
      <c r="D23" s="103" t="n"/>
      <c r="E23" s="103" t="n"/>
      <c r="F23" s="103" t="n"/>
    </row>
    <row r="24" ht="14.25" customHeight="1" s="68">
      <c r="A24" s="86" t="inlineStr">
        <is>
          <t>Etapa</t>
        </is>
      </c>
      <c r="B24" s="86" t="inlineStr">
        <is>
          <t>Días</t>
        </is>
      </c>
      <c r="C24" s="86" t="inlineStr">
        <is>
          <t>Fecha Inicio</t>
        </is>
      </c>
    </row>
    <row r="25" ht="14.25" customHeight="1" s="68">
      <c r="A25" s="107" t="inlineStr">
        <is>
          <t>Ingreso a Carpa</t>
        </is>
      </c>
      <c r="B25" s="108" t="n">
        <v>20</v>
      </c>
      <c r="C25" s="94">
        <f>C9+1</f>
        <v/>
      </c>
    </row>
    <row r="26" ht="14.25" customHeight="1" s="68">
      <c r="A26" s="110" t="inlineStr">
        <is>
          <t>Floración</t>
        </is>
      </c>
      <c r="B26" s="111" t="n">
        <v>63</v>
      </c>
      <c r="C26" s="112">
        <f>IF(C25="","",C25+B25)</f>
        <v/>
      </c>
    </row>
    <row r="27" ht="14.25" customHeight="1" s="68">
      <c r="A27" s="107" t="inlineStr">
        <is>
          <t>Corte</t>
        </is>
      </c>
      <c r="B27" s="108" t="n">
        <v>1</v>
      </c>
      <c r="C27" s="109">
        <f>IF(C26="","",C26+B26)</f>
        <v/>
      </c>
    </row>
    <row r="28" ht="14.25" customHeight="1" s="68">
      <c r="A28" s="110" t="inlineStr">
        <is>
          <t>Secado</t>
        </is>
      </c>
      <c r="B28" s="111" t="n">
        <v>7</v>
      </c>
      <c r="C28" s="112">
        <f>IF(C27="","",C27+B27)</f>
        <v/>
      </c>
    </row>
    <row r="29" ht="14.25" customHeight="1" s="68">
      <c r="A29" s="107" t="inlineStr">
        <is>
          <t>Procesado</t>
        </is>
      </c>
      <c r="B29" s="108" t="n">
        <v>3</v>
      </c>
      <c r="C29" s="109">
        <f>IF(C28="","",C28+B28)</f>
        <v/>
      </c>
    </row>
    <row r="30" ht="14.25" customHeight="1" s="68">
      <c r="A30" s="110" t="inlineStr">
        <is>
          <t>Disponible</t>
        </is>
      </c>
      <c r="B30" s="111" t="n"/>
      <c r="C30" s="112">
        <f>IF(C29="","",C29+B29)</f>
        <v/>
      </c>
    </row>
    <row r="31" ht="14.25" customHeight="1" s="68">
      <c r="A31" s="114" t="n"/>
      <c r="B31" s="114" t="n"/>
      <c r="C31" s="114" t="n"/>
    </row>
    <row r="32" ht="14.25" customHeight="1" s="68">
      <c r="A32" s="115" t="inlineStr">
        <is>
          <t>VARIEDADES</t>
        </is>
      </c>
      <c r="B32" s="116" t="inlineStr">
        <is>
          <t>Cant.</t>
        </is>
      </c>
      <c r="C32" s="114" t="n"/>
    </row>
    <row r="33" ht="14.25" customHeight="1" s="68">
      <c r="A33" s="93" t="n"/>
      <c r="B33" s="75" t="n"/>
      <c r="C33" s="114" t="n"/>
    </row>
    <row r="34" ht="14.25" customHeight="1" s="68">
      <c r="A34" s="93" t="n"/>
      <c r="B34" s="75" t="n"/>
      <c r="C34" s="114" t="n"/>
    </row>
    <row r="35" ht="14.25" customHeight="1" s="68">
      <c r="A35" s="117" t="inlineStr">
        <is>
          <t>TOTAL</t>
        </is>
      </c>
      <c r="B35" s="86">
        <f>SUM(B33:B34)</f>
        <v/>
      </c>
      <c r="C35" s="114" t="n"/>
    </row>
    <row r="36" ht="14.25" customHeight="1" s="68">
      <c r="A36" s="114" t="n"/>
      <c r="B36" s="114" t="n"/>
      <c r="C36" s="114" t="n"/>
    </row>
    <row r="37" ht="14.25" customHeight="1" s="68">
      <c r="A37" s="118" t="inlineStr">
        <is>
          <t>Observaciones:</t>
        </is>
      </c>
      <c r="B37" s="103" t="n"/>
      <c r="C37" s="103" t="n"/>
      <c r="D37" s="103" t="n"/>
      <c r="E37" s="103" t="n"/>
      <c r="F37" s="103" t="n"/>
    </row>
    <row r="38" ht="39.75" customHeight="1" s="68">
      <c r="A38" s="119" t="n"/>
      <c r="B38" s="120" t="n"/>
      <c r="C38" s="120" t="n"/>
      <c r="D38" s="120" t="n"/>
      <c r="E38" s="120" t="n"/>
      <c r="F38" s="120" t="n"/>
    </row>
    <row r="39" ht="14.25" customHeight="1" s="68">
      <c r="A39" s="121" t="n"/>
      <c r="B39" s="122" t="n"/>
      <c r="C39" s="122" t="n"/>
      <c r="D39" s="122" t="n"/>
      <c r="E39" s="122" t="n"/>
      <c r="F39" s="122" t="n"/>
    </row>
    <row r="40" ht="14.25" customHeight="1" s="68">
      <c r="A40" s="114" t="n"/>
      <c r="B40" s="114" t="n"/>
      <c r="C40" s="114" t="n"/>
    </row>
    <row r="41" ht="19.5" customHeight="1" s="68">
      <c r="A41" s="102" t="inlineStr">
        <is>
          <t>CICLO 3</t>
        </is>
      </c>
      <c r="B41" s="103" t="n"/>
      <c r="C41" s="103" t="n"/>
      <c r="D41" s="103" t="n"/>
      <c r="E41" s="103" t="n"/>
      <c r="F41" s="103" t="n"/>
    </row>
    <row r="42" ht="14.25" customHeight="1" s="68">
      <c r="A42" s="86" t="inlineStr">
        <is>
          <t>Etapa</t>
        </is>
      </c>
      <c r="B42" s="86" t="inlineStr">
        <is>
          <t>Días</t>
        </is>
      </c>
      <c r="C42" s="86" t="inlineStr">
        <is>
          <t>Fecha Inicio</t>
        </is>
      </c>
    </row>
    <row r="43" ht="14.25" customHeight="1" s="68">
      <c r="A43" s="107" t="inlineStr">
        <is>
          <t>Ingreso a Carpa</t>
        </is>
      </c>
      <c r="B43" s="108" t="n">
        <v>20</v>
      </c>
      <c r="C43" s="94">
        <f>C29+1</f>
        <v/>
      </c>
    </row>
    <row r="44" ht="14.25" customHeight="1" s="68">
      <c r="A44" s="110" t="inlineStr">
        <is>
          <t>Floración</t>
        </is>
      </c>
      <c r="B44" s="111" t="n">
        <v>63</v>
      </c>
      <c r="C44" s="112">
        <f>IF(C43="","",C43+B43)</f>
        <v/>
      </c>
    </row>
    <row r="45" ht="14.25" customHeight="1" s="68">
      <c r="A45" s="107" t="inlineStr">
        <is>
          <t>Corte</t>
        </is>
      </c>
      <c r="B45" s="108" t="n">
        <v>1</v>
      </c>
      <c r="C45" s="109">
        <f>IF(C44="","",C44+B44)</f>
        <v/>
      </c>
    </row>
    <row r="46" ht="14.25" customHeight="1" s="68">
      <c r="A46" s="110" t="inlineStr">
        <is>
          <t>Secado</t>
        </is>
      </c>
      <c r="B46" s="111" t="n">
        <v>7</v>
      </c>
      <c r="C46" s="112">
        <f>IF(C45="","",C45+B45)</f>
        <v/>
      </c>
    </row>
    <row r="47" ht="14.25" customHeight="1" s="68">
      <c r="A47" s="107" t="inlineStr">
        <is>
          <t>Procesado</t>
        </is>
      </c>
      <c r="B47" s="108" t="n">
        <v>3</v>
      </c>
      <c r="C47" s="109">
        <f>IF(C46="","",C46+B46)</f>
        <v/>
      </c>
    </row>
    <row r="48" ht="14.25" customHeight="1" s="68">
      <c r="A48" s="110" t="inlineStr">
        <is>
          <t>Disponible</t>
        </is>
      </c>
      <c r="B48" s="111" t="n"/>
      <c r="C48" s="112">
        <f>IF(C47="","",C47+B47)</f>
        <v/>
      </c>
    </row>
    <row r="49" ht="14.25" customHeight="1" s="68">
      <c r="A49" s="114" t="n"/>
      <c r="B49" s="114" t="n"/>
      <c r="C49" s="114" t="n"/>
    </row>
    <row r="50" ht="14.25" customHeight="1" s="68">
      <c r="A50" s="115" t="inlineStr">
        <is>
          <t>VARIEDADES</t>
        </is>
      </c>
      <c r="B50" s="116" t="inlineStr">
        <is>
          <t>Cant.</t>
        </is>
      </c>
      <c r="C50" s="114" t="n"/>
    </row>
    <row r="51" ht="14.25" customHeight="1" s="68">
      <c r="A51" s="93" t="n"/>
      <c r="B51" s="75" t="n"/>
      <c r="C51" s="114" t="n"/>
    </row>
    <row r="52" ht="14.25" customHeight="1" s="68">
      <c r="A52" s="93" t="n"/>
      <c r="B52" s="75" t="n"/>
      <c r="C52" s="114" t="n"/>
    </row>
    <row r="53" ht="14.25" customHeight="1" s="68">
      <c r="A53" s="117" t="inlineStr">
        <is>
          <t>TOTAL</t>
        </is>
      </c>
      <c r="B53" s="86">
        <f>SUM(B51:B52)</f>
        <v/>
      </c>
      <c r="C53" s="114" t="n"/>
    </row>
    <row r="54" ht="14.25" customHeight="1" s="68">
      <c r="A54" s="114" t="n"/>
      <c r="B54" s="114" t="n"/>
      <c r="C54" s="114" t="n"/>
    </row>
    <row r="55" ht="14.25" customHeight="1" s="68">
      <c r="A55" s="118" t="inlineStr">
        <is>
          <t>Observaciones:</t>
        </is>
      </c>
      <c r="B55" s="103" t="n"/>
      <c r="C55" s="103" t="n"/>
      <c r="D55" s="103" t="n"/>
      <c r="E55" s="103" t="n"/>
      <c r="F55" s="103" t="n"/>
    </row>
    <row r="56" ht="39.75" customHeight="1" s="68">
      <c r="A56" s="119" t="n"/>
      <c r="B56" s="120" t="n"/>
      <c r="C56" s="120" t="n"/>
      <c r="D56" s="120" t="n"/>
      <c r="E56" s="120" t="n"/>
      <c r="F56" s="120" t="n"/>
    </row>
    <row r="57" ht="14.25" customHeight="1" s="68">
      <c r="A57" s="121" t="n"/>
      <c r="B57" s="122" t="n"/>
      <c r="C57" s="122" t="n"/>
      <c r="D57" s="122" t="n"/>
      <c r="E57" s="122" t="n"/>
      <c r="F57" s="122" t="n"/>
    </row>
    <row r="58" ht="14.25" customHeight="1" s="68">
      <c r="A58" s="114" t="n"/>
      <c r="B58" s="114" t="n"/>
      <c r="C58" s="114" t="n"/>
    </row>
    <row r="59" ht="19.5" customHeight="1" s="68">
      <c r="A59" s="102" t="inlineStr">
        <is>
          <t>CICLO 4</t>
        </is>
      </c>
      <c r="B59" s="103" t="n"/>
      <c r="C59" s="103" t="n"/>
      <c r="D59" s="103" t="n"/>
      <c r="E59" s="103" t="n"/>
      <c r="F59" s="103" t="n"/>
    </row>
    <row r="60" ht="14.25" customHeight="1" s="68">
      <c r="A60" s="86" t="inlineStr">
        <is>
          <t>Etapa</t>
        </is>
      </c>
      <c r="B60" s="86" t="inlineStr">
        <is>
          <t>Días</t>
        </is>
      </c>
      <c r="C60" s="86" t="inlineStr">
        <is>
          <t>Fecha Inicio</t>
        </is>
      </c>
    </row>
    <row r="61" ht="14.25" customHeight="1" s="68">
      <c r="A61" s="107" t="inlineStr">
        <is>
          <t>Ingreso a Carpa</t>
        </is>
      </c>
      <c r="B61" s="108" t="n">
        <v>20</v>
      </c>
      <c r="C61" s="94">
        <f>C47+1</f>
        <v/>
      </c>
    </row>
    <row r="62" ht="14.25" customHeight="1" s="68">
      <c r="A62" s="110" t="inlineStr">
        <is>
          <t>Floración</t>
        </is>
      </c>
      <c r="B62" s="111" t="n">
        <v>63</v>
      </c>
      <c r="C62" s="112">
        <f>IF(C61="","",C61+B61)</f>
        <v/>
      </c>
    </row>
    <row r="63" ht="14.25" customHeight="1" s="68">
      <c r="A63" s="107" t="inlineStr">
        <is>
          <t>Corte</t>
        </is>
      </c>
      <c r="B63" s="108" t="n">
        <v>1</v>
      </c>
      <c r="C63" s="109">
        <f>IF(C62="","",C62+B62)</f>
        <v/>
      </c>
    </row>
    <row r="64" ht="14.25" customHeight="1" s="68">
      <c r="A64" s="110" t="inlineStr">
        <is>
          <t>Secado</t>
        </is>
      </c>
      <c r="B64" s="111" t="n">
        <v>7</v>
      </c>
      <c r="C64" s="112">
        <f>IF(C63="","",C63+B63)</f>
        <v/>
      </c>
    </row>
    <row r="65" ht="14.25" customHeight="1" s="68">
      <c r="A65" s="107" t="inlineStr">
        <is>
          <t>Procesado</t>
        </is>
      </c>
      <c r="B65" s="108" t="n">
        <v>3</v>
      </c>
      <c r="C65" s="109">
        <f>IF(C64="","",C64+B64)</f>
        <v/>
      </c>
    </row>
    <row r="66" ht="14.25" customHeight="1" s="68">
      <c r="A66" s="110" t="inlineStr">
        <is>
          <t>Disponible</t>
        </is>
      </c>
      <c r="B66" s="111" t="n"/>
      <c r="C66" s="112">
        <f>IF(C65="","",C65+B65)</f>
        <v/>
      </c>
    </row>
    <row r="67" ht="14.25" customHeight="1" s="68">
      <c r="A67" s="114" t="n"/>
      <c r="B67" s="114" t="n"/>
      <c r="C67" s="114" t="n"/>
    </row>
    <row r="68" ht="14.25" customHeight="1" s="68">
      <c r="A68" s="115" t="inlineStr">
        <is>
          <t>VARIEDADES</t>
        </is>
      </c>
      <c r="B68" s="116" t="inlineStr">
        <is>
          <t>Cant.</t>
        </is>
      </c>
      <c r="C68" s="114" t="n"/>
    </row>
    <row r="69" ht="14.25" customHeight="1" s="68">
      <c r="A69" s="93" t="n"/>
      <c r="B69" s="75" t="n"/>
      <c r="C69" s="114" t="n"/>
    </row>
    <row r="70" ht="14.25" customHeight="1" s="68">
      <c r="A70" s="93" t="n"/>
      <c r="B70" s="75" t="n"/>
      <c r="C70" s="114" t="n"/>
    </row>
    <row r="71" ht="14.25" customHeight="1" s="68">
      <c r="A71" s="117" t="inlineStr">
        <is>
          <t>TOTAL</t>
        </is>
      </c>
      <c r="B71" s="86">
        <f>SUM(B69:B70)</f>
        <v/>
      </c>
      <c r="C71" s="114" t="n"/>
    </row>
    <row r="72" ht="14.25" customHeight="1" s="68">
      <c r="A72" s="114" t="n"/>
      <c r="B72" s="114" t="n"/>
      <c r="C72" s="114" t="n"/>
    </row>
    <row r="73" ht="14.25" customHeight="1" s="68">
      <c r="A73" s="118" t="inlineStr">
        <is>
          <t>Observaciones:</t>
        </is>
      </c>
      <c r="B73" s="103" t="n"/>
      <c r="C73" s="103" t="n"/>
      <c r="D73" s="103" t="n"/>
      <c r="E73" s="103" t="n"/>
      <c r="F73" s="103" t="n"/>
    </row>
    <row r="74" ht="39.75" customHeight="1" s="68">
      <c r="A74" s="119" t="n"/>
      <c r="B74" s="120" t="n"/>
      <c r="C74" s="120" t="n"/>
      <c r="D74" s="120" t="n"/>
      <c r="E74" s="120" t="n"/>
      <c r="F74" s="120" t="n"/>
    </row>
    <row r="75" ht="14.25" customHeight="1" s="68">
      <c r="A75" s="121" t="n"/>
      <c r="B75" s="122" t="n"/>
      <c r="C75" s="122" t="n"/>
      <c r="D75" s="122" t="n"/>
      <c r="E75" s="122" t="n"/>
      <c r="F75" s="122" t="n"/>
    </row>
    <row r="76" ht="14.25" customHeight="1" s="68">
      <c r="A76" s="114" t="n"/>
      <c r="B76" s="114" t="n"/>
      <c r="C76" s="114" t="n"/>
    </row>
    <row r="77" ht="19.5" customHeight="1" s="68">
      <c r="A77" s="102" t="inlineStr">
        <is>
          <t>CICLO 5</t>
        </is>
      </c>
      <c r="B77" s="103" t="n"/>
      <c r="C77" s="103" t="n"/>
      <c r="D77" s="103" t="n"/>
      <c r="E77" s="103" t="n"/>
      <c r="F77" s="103" t="n"/>
    </row>
    <row r="78" ht="14.25" customHeight="1" s="68">
      <c r="A78" s="86" t="inlineStr">
        <is>
          <t>Etapa</t>
        </is>
      </c>
      <c r="B78" s="86" t="inlineStr">
        <is>
          <t>Días</t>
        </is>
      </c>
      <c r="C78" s="86" t="inlineStr">
        <is>
          <t>Fecha Inicio</t>
        </is>
      </c>
    </row>
    <row r="79" ht="14.25" customHeight="1" s="68">
      <c r="A79" s="107" t="inlineStr">
        <is>
          <t>Ingreso a Carpa</t>
        </is>
      </c>
      <c r="B79" s="108" t="n">
        <v>20</v>
      </c>
      <c r="C79" s="94">
        <f>C65+1</f>
        <v/>
      </c>
    </row>
    <row r="80" ht="14.25" customHeight="1" s="68">
      <c r="A80" s="110" t="inlineStr">
        <is>
          <t>Floración</t>
        </is>
      </c>
      <c r="B80" s="111" t="n">
        <v>63</v>
      </c>
      <c r="C80" s="112">
        <f>IF(C79="","",C79+B79)</f>
        <v/>
      </c>
    </row>
    <row r="81" ht="14.25" customHeight="1" s="68">
      <c r="A81" s="107" t="inlineStr">
        <is>
          <t>Corte</t>
        </is>
      </c>
      <c r="B81" s="108" t="n">
        <v>1</v>
      </c>
      <c r="C81" s="109">
        <f>IF(C80="","",C80+B80)</f>
        <v/>
      </c>
    </row>
    <row r="82" ht="14.25" customHeight="1" s="68">
      <c r="A82" s="110" t="inlineStr">
        <is>
          <t>Secado</t>
        </is>
      </c>
      <c r="B82" s="111" t="n">
        <v>7</v>
      </c>
      <c r="C82" s="112">
        <f>IF(C81="","",C81+B81)</f>
        <v/>
      </c>
    </row>
    <row r="83" ht="14.25" customHeight="1" s="68">
      <c r="A83" s="107" t="inlineStr">
        <is>
          <t>Procesado</t>
        </is>
      </c>
      <c r="B83" s="108" t="n">
        <v>3</v>
      </c>
      <c r="C83" s="109">
        <f>IF(C82="","",C82+B82)</f>
        <v/>
      </c>
    </row>
    <row r="84" ht="14.25" customHeight="1" s="68">
      <c r="A84" s="110" t="inlineStr">
        <is>
          <t>Disponible</t>
        </is>
      </c>
      <c r="B84" s="111" t="n"/>
      <c r="C84" s="112">
        <f>IF(C83="","",C83+B83)</f>
        <v/>
      </c>
    </row>
    <row r="85" ht="14.25" customHeight="1" s="68">
      <c r="A85" s="114" t="n"/>
      <c r="B85" s="114" t="n"/>
      <c r="C85" s="114" t="n"/>
    </row>
    <row r="86" ht="14.25" customHeight="1" s="68">
      <c r="A86" s="115" t="inlineStr">
        <is>
          <t>VARIEDADES</t>
        </is>
      </c>
      <c r="B86" s="116" t="inlineStr">
        <is>
          <t>Cant.</t>
        </is>
      </c>
      <c r="C86" s="114" t="n"/>
    </row>
    <row r="87" ht="14.25" customHeight="1" s="68">
      <c r="A87" s="93" t="n"/>
      <c r="B87" s="75" t="n"/>
      <c r="C87" s="114" t="n"/>
    </row>
    <row r="88" ht="14.25" customHeight="1" s="68">
      <c r="A88" s="93" t="n"/>
      <c r="B88" s="75" t="n"/>
      <c r="C88" s="114" t="n"/>
    </row>
    <row r="89" ht="14.25" customHeight="1" s="68">
      <c r="A89" s="117" t="inlineStr">
        <is>
          <t>TOTAL</t>
        </is>
      </c>
      <c r="B89" s="86">
        <f>SUM(B87:B88)</f>
        <v/>
      </c>
      <c r="C89" s="114" t="n"/>
    </row>
    <row r="90" ht="14.25" customHeight="1" s="68">
      <c r="A90" s="114" t="n"/>
      <c r="B90" s="114" t="n"/>
      <c r="C90" s="114" t="n"/>
    </row>
    <row r="91" ht="14.25" customHeight="1" s="68">
      <c r="A91" s="118" t="inlineStr">
        <is>
          <t>Observaciones:</t>
        </is>
      </c>
      <c r="B91" s="103" t="n"/>
      <c r="C91" s="103" t="n"/>
      <c r="D91" s="103" t="n"/>
      <c r="E91" s="103" t="n"/>
      <c r="F91" s="103" t="n"/>
    </row>
    <row r="92" ht="39.75" customHeight="1" s="68">
      <c r="A92" s="119" t="n"/>
      <c r="B92" s="120" t="n"/>
      <c r="C92" s="120" t="n"/>
      <c r="D92" s="120" t="n"/>
      <c r="E92" s="120" t="n"/>
      <c r="F92" s="120" t="n"/>
    </row>
    <row r="93" ht="14.25" customHeight="1" s="68">
      <c r="A93" s="121" t="n"/>
      <c r="B93" s="122" t="n"/>
      <c r="C93" s="122" t="n"/>
      <c r="D93" s="122" t="n"/>
      <c r="E93" s="122" t="n"/>
      <c r="F93" s="122" t="n"/>
    </row>
    <row r="94" ht="14.25" customHeight="1" s="68">
      <c r="A94" s="114" t="n"/>
      <c r="B94" s="114" t="n"/>
      <c r="C94" s="114" t="n"/>
    </row>
  </sheetData>
  <mergeCells count="17">
    <mergeCell ref="A41:F41"/>
    <mergeCell ref="A73:F73"/>
    <mergeCell ref="A20:F21"/>
    <mergeCell ref="H1:M1"/>
    <mergeCell ref="A19:F19"/>
    <mergeCell ref="A3:F3"/>
    <mergeCell ref="A1:F1"/>
    <mergeCell ref="A23:F23"/>
    <mergeCell ref="A37:F37"/>
    <mergeCell ref="A92:F93"/>
    <mergeCell ref="A77:F77"/>
    <mergeCell ref="A38:F39"/>
    <mergeCell ref="A74:F75"/>
    <mergeCell ref="A56:F57"/>
    <mergeCell ref="A91:F91"/>
    <mergeCell ref="A55:F55"/>
    <mergeCell ref="A59:F5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40916C"/>
    <outlinePr summaryBelow="1" summaryRight="1"/>
    <pageSetUpPr fitToPage="0"/>
  </sheetPr>
  <dimension ref="A1:N87"/>
  <sheetViews>
    <sheetView showFormulas="0" showGridLines="0" showRowColHeaders="1" showZeros="1" rightToLeft="0" tabSelected="0" showOutlineSymbols="1" defaultGridColor="1" view="normal" topLeftCell="A21" colorId="64" zoomScale="100" zoomScaleNormal="100" zoomScalePageLayoutView="100" workbookViewId="0">
      <selection pane="topLeft" activeCell="B14" activeCellId="0" sqref="B14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CARPA 2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/>
      <c r="I3" s="82" t="n"/>
      <c r="J3" s="82" t="n"/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4" t="inlineStr">
        <is>
          <t>Ingreso a Carpa</t>
        </is>
      </c>
      <c r="B5" s="105" t="n">
        <v>20</v>
      </c>
      <c r="C5" s="106" t="n">
        <v>46159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04" t="inlineStr">
        <is>
          <t>Floración</t>
        </is>
      </c>
      <c r="B6" s="105" t="n">
        <v>63</v>
      </c>
      <c r="C6" s="106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7" t="inlineStr">
        <is>
          <t>Corte</t>
        </is>
      </c>
      <c r="B7" s="108" t="n">
        <v>1</v>
      </c>
      <c r="C7" s="109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10" t="inlineStr">
        <is>
          <t>Secado</t>
        </is>
      </c>
      <c r="B8" s="111" t="n">
        <v>7</v>
      </c>
      <c r="C8" s="112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7" t="inlineStr">
        <is>
          <t>Procesado</t>
        </is>
      </c>
      <c r="B9" s="108" t="n">
        <v>3</v>
      </c>
      <c r="C9" s="109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Disponible</t>
        </is>
      </c>
      <c r="B10" s="111" t="n"/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14" t="n"/>
      <c r="B11" s="114" t="n"/>
      <c r="C11" s="114" t="n"/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5" t="inlineStr">
        <is>
          <t>VARIEDADES</t>
        </is>
      </c>
      <c r="B12" s="116" t="inlineStr">
        <is>
          <t>Cant.</t>
        </is>
      </c>
      <c r="C12" s="114" t="n"/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93" t="inlineStr">
        <is>
          <t>HTT Feno Hunt Mix</t>
        </is>
      </c>
      <c r="B13" s="75" t="n">
        <v>25</v>
      </c>
      <c r="C13" s="114" t="n"/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7" t="inlineStr">
        <is>
          <t>TOTAL</t>
        </is>
      </c>
      <c r="B14" s="86">
        <f>SUM(B13:B13)</f>
        <v/>
      </c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4" t="n"/>
      <c r="B15" s="114" t="n"/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118" t="inlineStr">
        <is>
          <t>Observaciones:</t>
        </is>
      </c>
      <c r="B16" s="103" t="n"/>
      <c r="C16" s="103" t="n"/>
      <c r="D16" s="103" t="n"/>
      <c r="E16" s="103" t="n"/>
      <c r="F16" s="103" t="n"/>
      <c r="H16" s="81" t="n"/>
      <c r="I16" s="82" t="n"/>
      <c r="J16" s="82" t="n"/>
      <c r="K16" s="82" t="n"/>
      <c r="L16" s="82" t="n"/>
      <c r="M16" s="75" t="n"/>
      <c r="N16" s="82" t="n"/>
    </row>
    <row r="17" ht="39.75" customHeight="1" s="68">
      <c r="A17" s="119" t="n"/>
      <c r="B17" s="120" t="n"/>
      <c r="C17" s="120" t="n"/>
      <c r="D17" s="120" t="n"/>
      <c r="E17" s="120" t="n"/>
      <c r="F17" s="120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21" t="n"/>
      <c r="B18" s="122" t="n"/>
      <c r="C18" s="122" t="n"/>
      <c r="D18" s="122" t="n"/>
      <c r="E18" s="122" t="n"/>
      <c r="F18" s="122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4" t="n"/>
      <c r="B19" s="114" t="n"/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9.5" customHeight="1" s="68">
      <c r="A20" s="102" t="inlineStr">
        <is>
          <t>CICLO 2</t>
        </is>
      </c>
      <c r="B20" s="103" t="n"/>
      <c r="C20" s="103" t="n"/>
      <c r="D20" s="103" t="n"/>
      <c r="E20" s="103" t="n"/>
      <c r="F20" s="103" t="n"/>
    </row>
    <row r="21" ht="14.25" customHeight="1" s="68">
      <c r="A21" s="86" t="inlineStr">
        <is>
          <t>Etapa</t>
        </is>
      </c>
      <c r="B21" s="86" t="inlineStr">
        <is>
          <t>Días</t>
        </is>
      </c>
      <c r="C21" s="86" t="inlineStr">
        <is>
          <t>Fecha Inicio</t>
        </is>
      </c>
    </row>
    <row r="22" ht="14.25" customHeight="1" s="68">
      <c r="A22" s="107" t="inlineStr">
        <is>
          <t>Ingreso a Carpa</t>
        </is>
      </c>
      <c r="B22" s="108" t="n">
        <v>20</v>
      </c>
      <c r="C22" s="94">
        <f>C9+1</f>
        <v/>
      </c>
    </row>
    <row r="23" ht="14.25" customHeight="1" s="68">
      <c r="A23" s="110" t="inlineStr">
        <is>
          <t>Floración</t>
        </is>
      </c>
      <c r="B23" s="111" t="n">
        <v>63</v>
      </c>
      <c r="C23" s="112">
        <f>IF(C22="","",C22+B22)</f>
        <v/>
      </c>
    </row>
    <row r="24" ht="14.25" customHeight="1" s="68">
      <c r="A24" s="107" t="inlineStr">
        <is>
          <t>Corte</t>
        </is>
      </c>
      <c r="B24" s="108" t="n">
        <v>1</v>
      </c>
      <c r="C24" s="109">
        <f>IF(C23="","",C23+B23)</f>
        <v/>
      </c>
    </row>
    <row r="25" ht="14.25" customHeight="1" s="68">
      <c r="A25" s="110" t="inlineStr">
        <is>
          <t>Secado</t>
        </is>
      </c>
      <c r="B25" s="111" t="n">
        <v>7</v>
      </c>
      <c r="C25" s="112">
        <f>IF(C24="","",C24+B24)</f>
        <v/>
      </c>
    </row>
    <row r="26" ht="14.25" customHeight="1" s="68">
      <c r="A26" s="107" t="inlineStr">
        <is>
          <t>Procesado</t>
        </is>
      </c>
      <c r="B26" s="108" t="n">
        <v>3</v>
      </c>
      <c r="C26" s="109">
        <f>IF(C25="","",C25+B25)</f>
        <v/>
      </c>
    </row>
    <row r="27" ht="14.25" customHeight="1" s="68">
      <c r="A27" s="110" t="inlineStr">
        <is>
          <t>Disponible</t>
        </is>
      </c>
      <c r="B27" s="111" t="n"/>
      <c r="C27" s="112">
        <f>IF(C26="","",C26+B26)</f>
        <v/>
      </c>
    </row>
    <row r="28" ht="14.25" customHeight="1" s="68">
      <c r="A28" s="114" t="n"/>
      <c r="B28" s="114" t="n"/>
      <c r="C28" s="114" t="n"/>
    </row>
    <row r="29" ht="14.25" customHeight="1" s="68">
      <c r="A29" s="115" t="inlineStr">
        <is>
          <t>VARIEDADES</t>
        </is>
      </c>
      <c r="B29" s="116" t="inlineStr">
        <is>
          <t>Cant.</t>
        </is>
      </c>
      <c r="C29" s="114" t="n"/>
    </row>
    <row r="30" ht="14.25" customHeight="1" s="68">
      <c r="A30" s="93" t="n"/>
      <c r="B30" s="75" t="n"/>
      <c r="C30" s="114" t="n"/>
    </row>
    <row r="31" ht="14.25" customHeight="1" s="68">
      <c r="A31" s="117" t="inlineStr">
        <is>
          <t>TOTAL</t>
        </is>
      </c>
      <c r="B31" s="86">
        <f>SUM(B30:B30)</f>
        <v/>
      </c>
      <c r="C31" s="114" t="n"/>
    </row>
    <row r="32" ht="14.25" customHeight="1" s="68">
      <c r="A32" s="114" t="n"/>
      <c r="B32" s="114" t="n"/>
      <c r="C32" s="114" t="n"/>
    </row>
    <row r="33" ht="14.25" customHeight="1" s="68">
      <c r="A33" s="118" t="inlineStr">
        <is>
          <t>Observaciones:</t>
        </is>
      </c>
      <c r="B33" s="103" t="n"/>
      <c r="C33" s="103" t="n"/>
      <c r="D33" s="103" t="n"/>
      <c r="E33" s="103" t="n"/>
      <c r="F33" s="103" t="n"/>
    </row>
    <row r="34" ht="39.75" customHeight="1" s="68">
      <c r="A34" s="119" t="n"/>
      <c r="B34" s="120" t="n"/>
      <c r="C34" s="120" t="n"/>
      <c r="D34" s="120" t="n"/>
      <c r="E34" s="120" t="n"/>
      <c r="F34" s="120" t="n"/>
    </row>
    <row r="35" ht="14.25" customHeight="1" s="68">
      <c r="A35" s="121" t="n"/>
      <c r="B35" s="122" t="n"/>
      <c r="C35" s="122" t="n"/>
      <c r="D35" s="122" t="n"/>
      <c r="E35" s="122" t="n"/>
      <c r="F35" s="122" t="n"/>
    </row>
    <row r="36" ht="14.25" customHeight="1" s="68">
      <c r="A36" s="114" t="n"/>
      <c r="B36" s="114" t="n"/>
      <c r="C36" s="114" t="n"/>
    </row>
    <row r="37" ht="19.5" customHeight="1" s="68">
      <c r="A37" s="102" t="inlineStr">
        <is>
          <t>CICLO 3</t>
        </is>
      </c>
      <c r="B37" s="103" t="n"/>
      <c r="C37" s="103" t="n"/>
      <c r="D37" s="103" t="n"/>
      <c r="E37" s="103" t="n"/>
      <c r="F37" s="103" t="n"/>
    </row>
    <row r="38" ht="14.25" customHeight="1" s="68">
      <c r="A38" s="86" t="inlineStr">
        <is>
          <t>Etapa</t>
        </is>
      </c>
      <c r="B38" s="86" t="inlineStr">
        <is>
          <t>Días</t>
        </is>
      </c>
      <c r="C38" s="86" t="inlineStr">
        <is>
          <t>Fecha Inicio</t>
        </is>
      </c>
    </row>
    <row r="39" ht="14.25" customHeight="1" s="68">
      <c r="A39" s="107" t="inlineStr">
        <is>
          <t>Ingreso a Carpa</t>
        </is>
      </c>
      <c r="B39" s="108" t="n">
        <v>20</v>
      </c>
      <c r="C39" s="94">
        <f>C26+1</f>
        <v/>
      </c>
    </row>
    <row r="40" ht="14.25" customHeight="1" s="68">
      <c r="A40" s="110" t="inlineStr">
        <is>
          <t>Floración</t>
        </is>
      </c>
      <c r="B40" s="111" t="n">
        <v>63</v>
      </c>
      <c r="C40" s="112">
        <f>IF(C39="","",C39+B39)</f>
        <v/>
      </c>
    </row>
    <row r="41" ht="14.25" customHeight="1" s="68">
      <c r="A41" s="107" t="inlineStr">
        <is>
          <t>Corte</t>
        </is>
      </c>
      <c r="B41" s="108" t="n">
        <v>1</v>
      </c>
      <c r="C41" s="109">
        <f>IF(C40="","",C40+B40)</f>
        <v/>
      </c>
    </row>
    <row r="42" ht="14.25" customHeight="1" s="68">
      <c r="A42" s="110" t="inlineStr">
        <is>
          <t>Secado</t>
        </is>
      </c>
      <c r="B42" s="111" t="n">
        <v>7</v>
      </c>
      <c r="C42" s="112">
        <f>IF(C41="","",C41+B41)</f>
        <v/>
      </c>
    </row>
    <row r="43" ht="14.25" customHeight="1" s="68">
      <c r="A43" s="107" t="inlineStr">
        <is>
          <t>Procesado</t>
        </is>
      </c>
      <c r="B43" s="108" t="n">
        <v>3</v>
      </c>
      <c r="C43" s="109">
        <f>IF(C42="","",C42+B42)</f>
        <v/>
      </c>
    </row>
    <row r="44" ht="14.25" customHeight="1" s="68">
      <c r="A44" s="110" t="inlineStr">
        <is>
          <t>Disponible</t>
        </is>
      </c>
      <c r="B44" s="111" t="n"/>
      <c r="C44" s="112">
        <f>IF(C43="","",C43+B43)</f>
        <v/>
      </c>
    </row>
    <row r="45" ht="14.25" customHeight="1" s="68">
      <c r="A45" s="114" t="n"/>
      <c r="B45" s="114" t="n"/>
      <c r="C45" s="114" t="n"/>
    </row>
    <row r="46" ht="14.25" customHeight="1" s="68">
      <c r="A46" s="115" t="inlineStr">
        <is>
          <t>VARIEDADES</t>
        </is>
      </c>
      <c r="B46" s="116" t="inlineStr">
        <is>
          <t>Cant.</t>
        </is>
      </c>
      <c r="C46" s="114" t="n"/>
    </row>
    <row r="47" ht="14.25" customHeight="1" s="68">
      <c r="A47" s="93" t="n"/>
      <c r="B47" s="75" t="n"/>
      <c r="C47" s="114" t="n"/>
    </row>
    <row r="48" ht="14.25" customHeight="1" s="68">
      <c r="A48" s="117" t="inlineStr">
        <is>
          <t>TOTAL</t>
        </is>
      </c>
      <c r="B48" s="86">
        <f>SUM(B47:B47)</f>
        <v/>
      </c>
      <c r="C48" s="114" t="n"/>
    </row>
    <row r="49" ht="14.25" customHeight="1" s="68">
      <c r="A49" s="114" t="n"/>
      <c r="B49" s="114" t="n"/>
      <c r="C49" s="114" t="n"/>
    </row>
    <row r="50" ht="14.25" customHeight="1" s="68">
      <c r="A50" s="118" t="inlineStr">
        <is>
          <t>Observaciones:</t>
        </is>
      </c>
      <c r="B50" s="103" t="n"/>
      <c r="C50" s="103" t="n"/>
      <c r="D50" s="103" t="n"/>
      <c r="E50" s="103" t="n"/>
      <c r="F50" s="103" t="n"/>
    </row>
    <row r="51" ht="39.75" customHeight="1" s="68">
      <c r="A51" s="119" t="n"/>
      <c r="B51" s="120" t="n"/>
      <c r="C51" s="120" t="n"/>
      <c r="D51" s="120" t="n"/>
      <c r="E51" s="120" t="n"/>
      <c r="F51" s="120" t="n"/>
    </row>
    <row r="52" ht="14.25" customHeight="1" s="68">
      <c r="A52" s="121" t="n"/>
      <c r="B52" s="122" t="n"/>
      <c r="C52" s="122" t="n"/>
      <c r="D52" s="122" t="n"/>
      <c r="E52" s="122" t="n"/>
      <c r="F52" s="122" t="n"/>
    </row>
    <row r="53" ht="14.25" customHeight="1" s="68">
      <c r="A53" s="114" t="n"/>
      <c r="B53" s="114" t="n"/>
      <c r="C53" s="114" t="n"/>
    </row>
    <row r="54" ht="19.5" customHeight="1" s="68">
      <c r="A54" s="102" t="inlineStr">
        <is>
          <t>CICLO 4</t>
        </is>
      </c>
      <c r="B54" s="103" t="n"/>
      <c r="C54" s="103" t="n"/>
      <c r="D54" s="103" t="n"/>
      <c r="E54" s="103" t="n"/>
      <c r="F54" s="103" t="n"/>
    </row>
    <row r="55" ht="14.25" customHeight="1" s="68">
      <c r="A55" s="86" t="inlineStr">
        <is>
          <t>Etapa</t>
        </is>
      </c>
      <c r="B55" s="86" t="inlineStr">
        <is>
          <t>Días</t>
        </is>
      </c>
      <c r="C55" s="86" t="inlineStr">
        <is>
          <t>Fecha Inicio</t>
        </is>
      </c>
    </row>
    <row r="56" ht="14.25" customHeight="1" s="68">
      <c r="A56" s="107" t="inlineStr">
        <is>
          <t>Ingreso a Carpa</t>
        </is>
      </c>
      <c r="B56" s="108" t="n">
        <v>20</v>
      </c>
      <c r="C56" s="94">
        <f>C43+1</f>
        <v/>
      </c>
    </row>
    <row r="57" ht="14.25" customHeight="1" s="68">
      <c r="A57" s="110" t="inlineStr">
        <is>
          <t>Floración</t>
        </is>
      </c>
      <c r="B57" s="111" t="n">
        <v>63</v>
      </c>
      <c r="C57" s="112">
        <f>IF(C56="","",C56+B56)</f>
        <v/>
      </c>
    </row>
    <row r="58" ht="14.25" customHeight="1" s="68">
      <c r="A58" s="107" t="inlineStr">
        <is>
          <t>Corte</t>
        </is>
      </c>
      <c r="B58" s="108" t="n">
        <v>1</v>
      </c>
      <c r="C58" s="109">
        <f>IF(C57="","",C57+B57)</f>
        <v/>
      </c>
    </row>
    <row r="59" ht="14.25" customHeight="1" s="68">
      <c r="A59" s="110" t="inlineStr">
        <is>
          <t>Secado</t>
        </is>
      </c>
      <c r="B59" s="111" t="n">
        <v>7</v>
      </c>
      <c r="C59" s="112">
        <f>IF(C58="","",C58+B58)</f>
        <v/>
      </c>
    </row>
    <row r="60" ht="14.25" customHeight="1" s="68">
      <c r="A60" s="107" t="inlineStr">
        <is>
          <t>Procesado</t>
        </is>
      </c>
      <c r="B60" s="108" t="n">
        <v>3</v>
      </c>
      <c r="C60" s="109">
        <f>IF(C59="","",C59+B59)</f>
        <v/>
      </c>
    </row>
    <row r="61" ht="14.25" customHeight="1" s="68">
      <c r="A61" s="110" t="inlineStr">
        <is>
          <t>Disponible</t>
        </is>
      </c>
      <c r="B61" s="111" t="n"/>
      <c r="C61" s="112">
        <f>IF(C60="","",C60+B60)</f>
        <v/>
      </c>
    </row>
    <row r="62" ht="14.25" customHeight="1" s="68">
      <c r="A62" s="114" t="n"/>
      <c r="B62" s="114" t="n"/>
      <c r="C62" s="114" t="n"/>
    </row>
    <row r="63" ht="14.25" customHeight="1" s="68">
      <c r="A63" s="115" t="inlineStr">
        <is>
          <t>VARIEDADES</t>
        </is>
      </c>
      <c r="B63" s="116" t="inlineStr">
        <is>
          <t>Cant.</t>
        </is>
      </c>
      <c r="C63" s="114" t="n"/>
    </row>
    <row r="64" ht="14.25" customHeight="1" s="68">
      <c r="A64" s="93" t="n"/>
      <c r="B64" s="75" t="n"/>
      <c r="C64" s="114" t="n"/>
    </row>
    <row r="65" ht="14.25" customHeight="1" s="68">
      <c r="A65" s="117" t="inlineStr">
        <is>
          <t>TOTAL</t>
        </is>
      </c>
      <c r="B65" s="86">
        <f>SUM(B64:B64)</f>
        <v/>
      </c>
      <c r="C65" s="114" t="n"/>
    </row>
    <row r="66" ht="14.25" customHeight="1" s="68">
      <c r="A66" s="114" t="n"/>
      <c r="B66" s="114" t="n"/>
      <c r="C66" s="114" t="n"/>
    </row>
    <row r="67" ht="14.25" customHeight="1" s="68">
      <c r="A67" s="118" t="inlineStr">
        <is>
          <t>Observaciones:</t>
        </is>
      </c>
      <c r="B67" s="103" t="n"/>
      <c r="C67" s="103" t="n"/>
      <c r="D67" s="103" t="n"/>
      <c r="E67" s="103" t="n"/>
      <c r="F67" s="103" t="n"/>
    </row>
    <row r="68" ht="39.75" customHeight="1" s="68">
      <c r="A68" s="119" t="n"/>
      <c r="B68" s="120" t="n"/>
      <c r="C68" s="120" t="n"/>
      <c r="D68" s="120" t="n"/>
      <c r="E68" s="120" t="n"/>
      <c r="F68" s="120" t="n"/>
    </row>
    <row r="69" ht="14.25" customHeight="1" s="68">
      <c r="A69" s="121" t="n"/>
      <c r="B69" s="122" t="n"/>
      <c r="C69" s="122" t="n"/>
      <c r="D69" s="122" t="n"/>
      <c r="E69" s="122" t="n"/>
      <c r="F69" s="122" t="n"/>
    </row>
    <row r="70" ht="14.25" customHeight="1" s="68">
      <c r="A70" s="114" t="n"/>
      <c r="B70" s="114" t="n"/>
      <c r="C70" s="114" t="n"/>
    </row>
    <row r="71" ht="19.5" customHeight="1" s="68">
      <c r="A71" s="102" t="inlineStr">
        <is>
          <t>CICLO 5</t>
        </is>
      </c>
      <c r="B71" s="103" t="n"/>
      <c r="C71" s="103" t="n"/>
      <c r="D71" s="103" t="n"/>
      <c r="E71" s="103" t="n"/>
      <c r="F71" s="103" t="n"/>
    </row>
    <row r="72" ht="14.25" customHeight="1" s="68">
      <c r="A72" s="86" t="inlineStr">
        <is>
          <t>Etapa</t>
        </is>
      </c>
      <c r="B72" s="86" t="inlineStr">
        <is>
          <t>Días</t>
        </is>
      </c>
      <c r="C72" s="86" t="inlineStr">
        <is>
          <t>Fecha Inicio</t>
        </is>
      </c>
    </row>
    <row r="73" ht="14.25" customHeight="1" s="68">
      <c r="A73" s="107" t="inlineStr">
        <is>
          <t>Ingreso a Carpa</t>
        </is>
      </c>
      <c r="B73" s="108" t="n">
        <v>20</v>
      </c>
      <c r="C73" s="94">
        <f>C60+1</f>
        <v/>
      </c>
    </row>
    <row r="74" ht="14.25" customHeight="1" s="68">
      <c r="A74" s="110" t="inlineStr">
        <is>
          <t>Floración</t>
        </is>
      </c>
      <c r="B74" s="111" t="n">
        <v>63</v>
      </c>
      <c r="C74" s="112">
        <f>IF(C73="","",C73+B73)</f>
        <v/>
      </c>
    </row>
    <row r="75" ht="14.25" customHeight="1" s="68">
      <c r="A75" s="107" t="inlineStr">
        <is>
          <t>Corte</t>
        </is>
      </c>
      <c r="B75" s="108" t="n">
        <v>1</v>
      </c>
      <c r="C75" s="109">
        <f>IF(C74="","",C74+B74)</f>
        <v/>
      </c>
    </row>
    <row r="76" ht="14.25" customHeight="1" s="68">
      <c r="A76" s="110" t="inlineStr">
        <is>
          <t>Secado</t>
        </is>
      </c>
      <c r="B76" s="111" t="n">
        <v>7</v>
      </c>
      <c r="C76" s="112">
        <f>IF(C75="","",C75+B75)</f>
        <v/>
      </c>
    </row>
    <row r="77" ht="14.25" customHeight="1" s="68">
      <c r="A77" s="107" t="inlineStr">
        <is>
          <t>Procesado</t>
        </is>
      </c>
      <c r="B77" s="108" t="n">
        <v>3</v>
      </c>
      <c r="C77" s="109">
        <f>IF(C76="","",C76+B76)</f>
        <v/>
      </c>
    </row>
    <row r="78" ht="14.25" customHeight="1" s="68">
      <c r="A78" s="110" t="inlineStr">
        <is>
          <t>Disponible</t>
        </is>
      </c>
      <c r="B78" s="111" t="n"/>
      <c r="C78" s="112">
        <f>IF(C77="","",C77+B77)</f>
        <v/>
      </c>
    </row>
    <row r="79" ht="14.25" customHeight="1" s="68">
      <c r="A79" s="114" t="n"/>
      <c r="B79" s="114" t="n"/>
      <c r="C79" s="114" t="n"/>
    </row>
    <row r="80" ht="14.25" customHeight="1" s="68">
      <c r="A80" s="115" t="inlineStr">
        <is>
          <t>VARIEDADES</t>
        </is>
      </c>
      <c r="B80" s="116" t="inlineStr">
        <is>
          <t>Cant.</t>
        </is>
      </c>
      <c r="C80" s="114" t="n"/>
    </row>
    <row r="81" ht="14.25" customHeight="1" s="68">
      <c r="A81" s="93" t="n"/>
      <c r="B81" s="75" t="n"/>
      <c r="C81" s="114" t="n"/>
    </row>
    <row r="82" ht="14.25" customHeight="1" s="68">
      <c r="A82" s="117" t="inlineStr">
        <is>
          <t>TOTAL</t>
        </is>
      </c>
      <c r="B82" s="86">
        <f>SUM(B81:B81)</f>
        <v/>
      </c>
      <c r="C82" s="114" t="n"/>
    </row>
    <row r="83" ht="14.25" customHeight="1" s="68">
      <c r="A83" s="114" t="n"/>
      <c r="B83" s="114" t="n"/>
      <c r="C83" s="114" t="n"/>
    </row>
    <row r="84" ht="14.25" customHeight="1" s="68">
      <c r="A84" s="118" t="inlineStr">
        <is>
          <t>Observaciones:</t>
        </is>
      </c>
      <c r="B84" s="103" t="n"/>
      <c r="C84" s="103" t="n"/>
      <c r="D84" s="103" t="n"/>
      <c r="E84" s="103" t="n"/>
      <c r="F84" s="103" t="n"/>
    </row>
    <row r="85" ht="39.75" customHeight="1" s="68">
      <c r="A85" s="119" t="n"/>
      <c r="B85" s="120" t="n"/>
      <c r="C85" s="120" t="n"/>
      <c r="D85" s="120" t="n"/>
      <c r="E85" s="120" t="n"/>
      <c r="F85" s="120" t="n"/>
    </row>
    <row r="86" ht="14.25" customHeight="1" s="68">
      <c r="A86" s="121" t="n"/>
      <c r="B86" s="122" t="n"/>
      <c r="C86" s="122" t="n"/>
      <c r="D86" s="122" t="n"/>
      <c r="E86" s="122" t="n"/>
      <c r="F86" s="122" t="n"/>
    </row>
    <row r="87" ht="14.25" customHeight="1" s="68">
      <c r="A87" s="114" t="n"/>
      <c r="B87" s="114" t="n"/>
      <c r="C87" s="114" t="n"/>
    </row>
  </sheetData>
  <mergeCells count="17">
    <mergeCell ref="A16:F16"/>
    <mergeCell ref="A33:F33"/>
    <mergeCell ref="A54:F54"/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40916C"/>
    <outlinePr summaryBelow="1" summaryRight="1"/>
    <pageSetUpPr fitToPage="0"/>
  </sheetPr>
  <dimension ref="A1:N87"/>
  <sheetViews>
    <sheetView showFormulas="0" showGridLines="0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B14" activeCellId="0" sqref="B14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CARPA 3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/>
      <c r="I3" s="82" t="n"/>
      <c r="J3" s="82" t="n"/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7" t="inlineStr">
        <is>
          <t>Ingreso a Carpa</t>
        </is>
      </c>
      <c r="B5" s="108" t="n">
        <v>20</v>
      </c>
      <c r="C5" s="94" t="n">
        <v>46120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10" t="inlineStr">
        <is>
          <t>Floración</t>
        </is>
      </c>
      <c r="B6" s="111" t="n">
        <v>63</v>
      </c>
      <c r="C6" s="112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7" t="inlineStr">
        <is>
          <t>Corte</t>
        </is>
      </c>
      <c r="B7" s="108" t="n">
        <v>1</v>
      </c>
      <c r="C7" s="109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10" t="inlineStr">
        <is>
          <t>Secado</t>
        </is>
      </c>
      <c r="B8" s="111" t="n">
        <v>7</v>
      </c>
      <c r="C8" s="112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7" t="inlineStr">
        <is>
          <t>Procesado</t>
        </is>
      </c>
      <c r="B9" s="108" t="n">
        <v>3</v>
      </c>
      <c r="C9" s="109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Disponible</t>
        </is>
      </c>
      <c r="B10" s="111" t="n"/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14" t="n"/>
      <c r="B11" s="114" t="n"/>
      <c r="C11" s="114" t="n"/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5" t="inlineStr">
        <is>
          <t>VARIEDADES</t>
        </is>
      </c>
      <c r="B12" s="116" t="inlineStr">
        <is>
          <t>Cant.</t>
        </is>
      </c>
      <c r="C12" s="114" t="n"/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93" t="inlineStr">
        <is>
          <t>Guava</t>
        </is>
      </c>
      <c r="B13" s="75" t="n">
        <v>37</v>
      </c>
      <c r="C13" s="114" t="n"/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7" t="inlineStr">
        <is>
          <t>TOTAL</t>
        </is>
      </c>
      <c r="B14" s="86">
        <f>SUM(B13:B13)</f>
        <v/>
      </c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4" t="n"/>
      <c r="B15" s="114" t="n"/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118" t="inlineStr">
        <is>
          <t>Observaciones:</t>
        </is>
      </c>
      <c r="B16" s="103" t="n"/>
      <c r="C16" s="103" t="n"/>
      <c r="D16" s="103" t="n"/>
      <c r="E16" s="103" t="n"/>
      <c r="F16" s="103" t="n"/>
      <c r="H16" s="81" t="n"/>
      <c r="I16" s="82" t="n"/>
      <c r="J16" s="82" t="n"/>
      <c r="K16" s="82" t="n"/>
      <c r="L16" s="82" t="n"/>
      <c r="M16" s="75" t="n"/>
      <c r="N16" s="82" t="n"/>
    </row>
    <row r="17" ht="39.75" customHeight="1" s="68">
      <c r="A17" s="119" t="n"/>
      <c r="B17" s="120" t="n"/>
      <c r="C17" s="120" t="n"/>
      <c r="D17" s="120" t="n"/>
      <c r="E17" s="120" t="n"/>
      <c r="F17" s="120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21" t="n"/>
      <c r="B18" s="122" t="n"/>
      <c r="C18" s="122" t="n"/>
      <c r="D18" s="122" t="n"/>
      <c r="E18" s="122" t="n"/>
      <c r="F18" s="122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4" t="n"/>
      <c r="B19" s="114" t="n"/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9.5" customHeight="1" s="68">
      <c r="A20" s="102" t="inlineStr">
        <is>
          <t>CICLO 2</t>
        </is>
      </c>
      <c r="B20" s="103" t="n"/>
      <c r="C20" s="103" t="n"/>
      <c r="D20" s="103" t="n"/>
      <c r="E20" s="103" t="n"/>
      <c r="F20" s="103" t="n"/>
    </row>
    <row r="21" ht="14.25" customHeight="1" s="68">
      <c r="A21" s="86" t="inlineStr">
        <is>
          <t>Etapa</t>
        </is>
      </c>
      <c r="B21" s="86" t="inlineStr">
        <is>
          <t>Días</t>
        </is>
      </c>
      <c r="C21" s="86" t="inlineStr">
        <is>
          <t>Fecha Inicio</t>
        </is>
      </c>
    </row>
    <row r="22" ht="14.25" customHeight="1" s="68">
      <c r="A22" s="107" t="inlineStr">
        <is>
          <t>Ingreso a Carpa</t>
        </is>
      </c>
      <c r="B22" s="108" t="n">
        <v>20</v>
      </c>
      <c r="C22" s="94">
        <f>C9+1</f>
        <v/>
      </c>
    </row>
    <row r="23" ht="14.25" customHeight="1" s="68">
      <c r="A23" s="110" t="inlineStr">
        <is>
          <t>Floración</t>
        </is>
      </c>
      <c r="B23" s="111" t="n">
        <v>63</v>
      </c>
      <c r="C23" s="112">
        <f>IF(C22="","",C22+B22)</f>
        <v/>
      </c>
    </row>
    <row r="24" ht="14.25" customHeight="1" s="68">
      <c r="A24" s="107" t="inlineStr">
        <is>
          <t>Corte</t>
        </is>
      </c>
      <c r="B24" s="108" t="n">
        <v>1</v>
      </c>
      <c r="C24" s="109">
        <f>IF(C23="","",C23+B23)</f>
        <v/>
      </c>
    </row>
    <row r="25" ht="14.25" customHeight="1" s="68">
      <c r="A25" s="110" t="inlineStr">
        <is>
          <t>Secado</t>
        </is>
      </c>
      <c r="B25" s="111" t="n">
        <v>7</v>
      </c>
      <c r="C25" s="112">
        <f>IF(C24="","",C24+B24)</f>
        <v/>
      </c>
    </row>
    <row r="26" ht="14.25" customHeight="1" s="68">
      <c r="A26" s="107" t="inlineStr">
        <is>
          <t>Procesado</t>
        </is>
      </c>
      <c r="B26" s="108" t="n">
        <v>3</v>
      </c>
      <c r="C26" s="109">
        <f>IF(C25="","",C25+B25)</f>
        <v/>
      </c>
    </row>
    <row r="27" ht="14.25" customHeight="1" s="68">
      <c r="A27" s="110" t="inlineStr">
        <is>
          <t>Disponible</t>
        </is>
      </c>
      <c r="B27" s="111" t="n"/>
      <c r="C27" s="112">
        <f>IF(C26="","",C26+B26)</f>
        <v/>
      </c>
    </row>
    <row r="28" ht="14.25" customHeight="1" s="68">
      <c r="A28" s="114" t="n"/>
      <c r="B28" s="114" t="n"/>
      <c r="C28" s="114" t="n"/>
    </row>
    <row r="29" ht="14.25" customHeight="1" s="68">
      <c r="A29" s="115" t="inlineStr">
        <is>
          <t>VARIEDADES</t>
        </is>
      </c>
      <c r="B29" s="116" t="inlineStr">
        <is>
          <t>Cant.</t>
        </is>
      </c>
      <c r="C29" s="114" t="n"/>
    </row>
    <row r="30" ht="14.25" customHeight="1" s="68">
      <c r="A30" s="93" t="n"/>
      <c r="B30" s="75" t="n"/>
      <c r="C30" s="114" t="n"/>
    </row>
    <row r="31" ht="14.25" customHeight="1" s="68">
      <c r="A31" s="117" t="inlineStr">
        <is>
          <t>TOTAL</t>
        </is>
      </c>
      <c r="B31" s="86">
        <f>SUM(B30:B30)</f>
        <v/>
      </c>
      <c r="C31" s="114" t="n"/>
    </row>
    <row r="32" ht="14.25" customHeight="1" s="68">
      <c r="A32" s="114" t="n"/>
      <c r="B32" s="114" t="n"/>
      <c r="C32" s="114" t="n"/>
    </row>
    <row r="33" ht="14.25" customHeight="1" s="68">
      <c r="A33" s="118" t="inlineStr">
        <is>
          <t>Observaciones:</t>
        </is>
      </c>
      <c r="B33" s="103" t="n"/>
      <c r="C33" s="103" t="n"/>
      <c r="D33" s="103" t="n"/>
      <c r="E33" s="103" t="n"/>
      <c r="F33" s="103" t="n"/>
    </row>
    <row r="34" ht="39.75" customHeight="1" s="68">
      <c r="A34" s="119" t="n"/>
      <c r="B34" s="120" t="n"/>
      <c r="C34" s="120" t="n"/>
      <c r="D34" s="120" t="n"/>
      <c r="E34" s="120" t="n"/>
      <c r="F34" s="120" t="n"/>
    </row>
    <row r="35" ht="14.25" customHeight="1" s="68">
      <c r="A35" s="121" t="n"/>
      <c r="B35" s="122" t="n"/>
      <c r="C35" s="122" t="n"/>
      <c r="D35" s="122" t="n"/>
      <c r="E35" s="122" t="n"/>
      <c r="F35" s="122" t="n"/>
    </row>
    <row r="36" ht="14.25" customHeight="1" s="68">
      <c r="A36" s="114" t="n"/>
      <c r="B36" s="114" t="n"/>
      <c r="C36" s="114" t="n"/>
    </row>
    <row r="37" ht="19.5" customHeight="1" s="68">
      <c r="A37" s="102" t="inlineStr">
        <is>
          <t>CICLO 3</t>
        </is>
      </c>
      <c r="B37" s="103" t="n"/>
      <c r="C37" s="103" t="n"/>
      <c r="D37" s="103" t="n"/>
      <c r="E37" s="103" t="n"/>
      <c r="F37" s="103" t="n"/>
    </row>
    <row r="38" ht="14.25" customHeight="1" s="68">
      <c r="A38" s="86" t="inlineStr">
        <is>
          <t>Etapa</t>
        </is>
      </c>
      <c r="B38" s="86" t="inlineStr">
        <is>
          <t>Días</t>
        </is>
      </c>
      <c r="C38" s="86" t="inlineStr">
        <is>
          <t>Fecha Inicio</t>
        </is>
      </c>
    </row>
    <row r="39" ht="14.25" customHeight="1" s="68">
      <c r="A39" s="107" t="inlineStr">
        <is>
          <t>Ingreso a Carpa</t>
        </is>
      </c>
      <c r="B39" s="108" t="n">
        <v>20</v>
      </c>
      <c r="C39" s="94">
        <f>C26+1</f>
        <v/>
      </c>
    </row>
    <row r="40" ht="14.25" customHeight="1" s="68">
      <c r="A40" s="110" t="inlineStr">
        <is>
          <t>Floración</t>
        </is>
      </c>
      <c r="B40" s="111" t="n">
        <v>63</v>
      </c>
      <c r="C40" s="112">
        <f>IF(C39="","",C39+B39)</f>
        <v/>
      </c>
    </row>
    <row r="41" ht="14.25" customHeight="1" s="68">
      <c r="A41" s="107" t="inlineStr">
        <is>
          <t>Corte</t>
        </is>
      </c>
      <c r="B41" s="108" t="n">
        <v>1</v>
      </c>
      <c r="C41" s="109">
        <f>IF(C40="","",C40+B40)</f>
        <v/>
      </c>
    </row>
    <row r="42" ht="14.25" customHeight="1" s="68">
      <c r="A42" s="110" t="inlineStr">
        <is>
          <t>Secado</t>
        </is>
      </c>
      <c r="B42" s="111" t="n">
        <v>7</v>
      </c>
      <c r="C42" s="112">
        <f>IF(C41="","",C41+B41)</f>
        <v/>
      </c>
    </row>
    <row r="43" ht="14.25" customHeight="1" s="68">
      <c r="A43" s="107" t="inlineStr">
        <is>
          <t>Procesado</t>
        </is>
      </c>
      <c r="B43" s="108" t="n">
        <v>3</v>
      </c>
      <c r="C43" s="109">
        <f>IF(C42="","",C42+B42)</f>
        <v/>
      </c>
    </row>
    <row r="44" ht="14.25" customHeight="1" s="68">
      <c r="A44" s="110" t="inlineStr">
        <is>
          <t>Disponible</t>
        </is>
      </c>
      <c r="B44" s="111" t="n"/>
      <c r="C44" s="112">
        <f>IF(C43="","",C43+B43)</f>
        <v/>
      </c>
    </row>
    <row r="45" ht="14.25" customHeight="1" s="68">
      <c r="A45" s="114" t="n"/>
      <c r="B45" s="114" t="n"/>
      <c r="C45" s="114" t="n"/>
    </row>
    <row r="46" ht="14.25" customHeight="1" s="68">
      <c r="A46" s="115" t="inlineStr">
        <is>
          <t>VARIEDADES</t>
        </is>
      </c>
      <c r="B46" s="116" t="inlineStr">
        <is>
          <t>Cant.</t>
        </is>
      </c>
      <c r="C46" s="114" t="n"/>
    </row>
    <row r="47" ht="14.25" customHeight="1" s="68">
      <c r="A47" s="93" t="n"/>
      <c r="B47" s="75" t="n"/>
      <c r="C47" s="114" t="n"/>
    </row>
    <row r="48" ht="14.25" customHeight="1" s="68">
      <c r="A48" s="117" t="inlineStr">
        <is>
          <t>TOTAL</t>
        </is>
      </c>
      <c r="B48" s="86">
        <f>SUM(B47:B47)</f>
        <v/>
      </c>
      <c r="C48" s="114" t="n"/>
    </row>
    <row r="49" ht="14.25" customHeight="1" s="68">
      <c r="A49" s="114" t="n"/>
      <c r="B49" s="114" t="n"/>
      <c r="C49" s="114" t="n"/>
    </row>
    <row r="50" ht="14.25" customHeight="1" s="68">
      <c r="A50" s="118" t="inlineStr">
        <is>
          <t>Observaciones:</t>
        </is>
      </c>
      <c r="B50" s="103" t="n"/>
      <c r="C50" s="103" t="n"/>
      <c r="D50" s="103" t="n"/>
      <c r="E50" s="103" t="n"/>
      <c r="F50" s="103" t="n"/>
    </row>
    <row r="51" ht="39.75" customHeight="1" s="68">
      <c r="A51" s="119" t="n"/>
      <c r="B51" s="120" t="n"/>
      <c r="C51" s="120" t="n"/>
      <c r="D51" s="120" t="n"/>
      <c r="E51" s="120" t="n"/>
      <c r="F51" s="120" t="n"/>
    </row>
    <row r="52" ht="14.25" customHeight="1" s="68">
      <c r="A52" s="121" t="n"/>
      <c r="B52" s="122" t="n"/>
      <c r="C52" s="122" t="n"/>
      <c r="D52" s="122" t="n"/>
      <c r="E52" s="122" t="n"/>
      <c r="F52" s="122" t="n"/>
    </row>
    <row r="53" ht="14.25" customHeight="1" s="68">
      <c r="A53" s="114" t="n"/>
      <c r="B53" s="114" t="n"/>
      <c r="C53" s="114" t="n"/>
    </row>
    <row r="54" ht="19.5" customHeight="1" s="68">
      <c r="A54" s="102" t="inlineStr">
        <is>
          <t>CICLO 4</t>
        </is>
      </c>
      <c r="B54" s="103" t="n"/>
      <c r="C54" s="103" t="n"/>
      <c r="D54" s="103" t="n"/>
      <c r="E54" s="103" t="n"/>
      <c r="F54" s="103" t="n"/>
    </row>
    <row r="55" ht="14.25" customHeight="1" s="68">
      <c r="A55" s="86" t="inlineStr">
        <is>
          <t>Etapa</t>
        </is>
      </c>
      <c r="B55" s="86" t="inlineStr">
        <is>
          <t>Días</t>
        </is>
      </c>
      <c r="C55" s="86" t="inlineStr">
        <is>
          <t>Fecha Inicio</t>
        </is>
      </c>
    </row>
    <row r="56" ht="14.25" customHeight="1" s="68">
      <c r="A56" s="107" t="inlineStr">
        <is>
          <t>Ingreso a Carpa</t>
        </is>
      </c>
      <c r="B56" s="108" t="n">
        <v>20</v>
      </c>
      <c r="C56" s="94">
        <f>C43+1</f>
        <v/>
      </c>
    </row>
    <row r="57" ht="14.25" customHeight="1" s="68">
      <c r="A57" s="110" t="inlineStr">
        <is>
          <t>Floración</t>
        </is>
      </c>
      <c r="B57" s="111" t="n">
        <v>63</v>
      </c>
      <c r="C57" s="112">
        <f>IF(C56="","",C56+B56)</f>
        <v/>
      </c>
    </row>
    <row r="58" ht="14.25" customHeight="1" s="68">
      <c r="A58" s="107" t="inlineStr">
        <is>
          <t>Corte</t>
        </is>
      </c>
      <c r="B58" s="108" t="n">
        <v>1</v>
      </c>
      <c r="C58" s="109">
        <f>IF(C57="","",C57+B57)</f>
        <v/>
      </c>
    </row>
    <row r="59" ht="14.25" customHeight="1" s="68">
      <c r="A59" s="110" t="inlineStr">
        <is>
          <t>Secado</t>
        </is>
      </c>
      <c r="B59" s="111" t="n">
        <v>7</v>
      </c>
      <c r="C59" s="112">
        <f>IF(C58="","",C58+B58)</f>
        <v/>
      </c>
    </row>
    <row r="60" ht="14.25" customHeight="1" s="68">
      <c r="A60" s="107" t="inlineStr">
        <is>
          <t>Procesado</t>
        </is>
      </c>
      <c r="B60" s="108" t="n">
        <v>3</v>
      </c>
      <c r="C60" s="109">
        <f>IF(C59="","",C59+B59)</f>
        <v/>
      </c>
    </row>
    <row r="61" ht="14.25" customHeight="1" s="68">
      <c r="A61" s="110" t="inlineStr">
        <is>
          <t>Disponible</t>
        </is>
      </c>
      <c r="B61" s="111" t="n"/>
      <c r="C61" s="112">
        <f>IF(C60="","",C60+B60)</f>
        <v/>
      </c>
    </row>
    <row r="62" ht="14.25" customHeight="1" s="68">
      <c r="A62" s="114" t="n"/>
      <c r="B62" s="114" t="n"/>
      <c r="C62" s="114" t="n"/>
    </row>
    <row r="63" ht="14.25" customHeight="1" s="68">
      <c r="A63" s="115" t="inlineStr">
        <is>
          <t>VARIEDADES</t>
        </is>
      </c>
      <c r="B63" s="116" t="inlineStr">
        <is>
          <t>Cant.</t>
        </is>
      </c>
      <c r="C63" s="114" t="n"/>
    </row>
    <row r="64" ht="14.25" customHeight="1" s="68">
      <c r="A64" s="93" t="n"/>
      <c r="B64" s="75" t="n"/>
      <c r="C64" s="114" t="n"/>
    </row>
    <row r="65" ht="14.25" customHeight="1" s="68">
      <c r="A65" s="117" t="inlineStr">
        <is>
          <t>TOTAL</t>
        </is>
      </c>
      <c r="B65" s="86">
        <f>SUM(B64:B64)</f>
        <v/>
      </c>
      <c r="C65" s="114" t="n"/>
    </row>
    <row r="66" ht="14.25" customHeight="1" s="68">
      <c r="A66" s="114" t="n"/>
      <c r="B66" s="114" t="n"/>
      <c r="C66" s="114" t="n"/>
    </row>
    <row r="67" ht="14.25" customHeight="1" s="68">
      <c r="A67" s="118" t="inlineStr">
        <is>
          <t>Observaciones:</t>
        </is>
      </c>
      <c r="B67" s="103" t="n"/>
      <c r="C67" s="103" t="n"/>
      <c r="D67" s="103" t="n"/>
      <c r="E67" s="103" t="n"/>
      <c r="F67" s="103" t="n"/>
    </row>
    <row r="68" ht="39.75" customHeight="1" s="68">
      <c r="A68" s="119" t="n"/>
      <c r="B68" s="120" t="n"/>
      <c r="C68" s="120" t="n"/>
      <c r="D68" s="120" t="n"/>
      <c r="E68" s="120" t="n"/>
      <c r="F68" s="120" t="n"/>
    </row>
    <row r="69" ht="14.25" customHeight="1" s="68">
      <c r="A69" s="121" t="n"/>
      <c r="B69" s="122" t="n"/>
      <c r="C69" s="122" t="n"/>
      <c r="D69" s="122" t="n"/>
      <c r="E69" s="122" t="n"/>
      <c r="F69" s="122" t="n"/>
    </row>
    <row r="70" ht="14.25" customHeight="1" s="68">
      <c r="A70" s="114" t="n"/>
      <c r="B70" s="114" t="n"/>
      <c r="C70" s="114" t="n"/>
    </row>
    <row r="71" ht="19.5" customHeight="1" s="68">
      <c r="A71" s="102" t="inlineStr">
        <is>
          <t>CICLO 5</t>
        </is>
      </c>
      <c r="B71" s="103" t="n"/>
      <c r="C71" s="103" t="n"/>
      <c r="D71" s="103" t="n"/>
      <c r="E71" s="103" t="n"/>
      <c r="F71" s="103" t="n"/>
    </row>
    <row r="72" ht="14.25" customHeight="1" s="68">
      <c r="A72" s="86" t="inlineStr">
        <is>
          <t>Etapa</t>
        </is>
      </c>
      <c r="B72" s="86" t="inlineStr">
        <is>
          <t>Días</t>
        </is>
      </c>
      <c r="C72" s="86" t="inlineStr">
        <is>
          <t>Fecha Inicio</t>
        </is>
      </c>
    </row>
    <row r="73" ht="14.25" customHeight="1" s="68">
      <c r="A73" s="107" t="inlineStr">
        <is>
          <t>Ingreso a Carpa</t>
        </is>
      </c>
      <c r="B73" s="108" t="n">
        <v>20</v>
      </c>
      <c r="C73" s="94">
        <f>C60+1</f>
        <v/>
      </c>
    </row>
    <row r="74" ht="14.25" customHeight="1" s="68">
      <c r="A74" s="110" t="inlineStr">
        <is>
          <t>Floración</t>
        </is>
      </c>
      <c r="B74" s="111" t="n">
        <v>63</v>
      </c>
      <c r="C74" s="112">
        <f>IF(C73="","",C73+B73)</f>
        <v/>
      </c>
    </row>
    <row r="75" ht="14.25" customHeight="1" s="68">
      <c r="A75" s="107" t="inlineStr">
        <is>
          <t>Corte</t>
        </is>
      </c>
      <c r="B75" s="108" t="n">
        <v>1</v>
      </c>
      <c r="C75" s="109">
        <f>IF(C74="","",C74+B74)</f>
        <v/>
      </c>
    </row>
    <row r="76" ht="14.25" customHeight="1" s="68">
      <c r="A76" s="110" t="inlineStr">
        <is>
          <t>Secado</t>
        </is>
      </c>
      <c r="B76" s="111" t="n">
        <v>7</v>
      </c>
      <c r="C76" s="112">
        <f>IF(C75="","",C75+B75)</f>
        <v/>
      </c>
    </row>
    <row r="77" ht="14.25" customHeight="1" s="68">
      <c r="A77" s="107" t="inlineStr">
        <is>
          <t>Procesado</t>
        </is>
      </c>
      <c r="B77" s="108" t="n">
        <v>3</v>
      </c>
      <c r="C77" s="109">
        <f>IF(C76="","",C76+B76)</f>
        <v/>
      </c>
    </row>
    <row r="78" ht="14.25" customHeight="1" s="68">
      <c r="A78" s="110" t="inlineStr">
        <is>
          <t>Disponible</t>
        </is>
      </c>
      <c r="B78" s="111" t="n"/>
      <c r="C78" s="112">
        <f>IF(C77="","",C77+B77)</f>
        <v/>
      </c>
    </row>
    <row r="79" ht="14.25" customHeight="1" s="68">
      <c r="A79" s="114" t="n"/>
      <c r="B79" s="114" t="n"/>
      <c r="C79" s="114" t="n"/>
    </row>
    <row r="80" ht="14.25" customHeight="1" s="68">
      <c r="A80" s="115" t="inlineStr">
        <is>
          <t>VARIEDADES</t>
        </is>
      </c>
      <c r="B80" s="116" t="inlineStr">
        <is>
          <t>Cant.</t>
        </is>
      </c>
      <c r="C80" s="114" t="n"/>
    </row>
    <row r="81" ht="14.25" customHeight="1" s="68">
      <c r="A81" s="93" t="n"/>
      <c r="B81" s="75" t="n"/>
      <c r="C81" s="114" t="n"/>
    </row>
    <row r="82" ht="14.25" customHeight="1" s="68">
      <c r="A82" s="117" t="inlineStr">
        <is>
          <t>TOTAL</t>
        </is>
      </c>
      <c r="B82" s="86">
        <f>SUM(B81:B81)</f>
        <v/>
      </c>
      <c r="C82" s="114" t="n"/>
    </row>
    <row r="83" ht="14.25" customHeight="1" s="68">
      <c r="A83" s="114" t="n"/>
      <c r="B83" s="114" t="n"/>
      <c r="C83" s="114" t="n"/>
    </row>
    <row r="84" ht="14.25" customHeight="1" s="68">
      <c r="A84" s="118" t="inlineStr">
        <is>
          <t>Observaciones:</t>
        </is>
      </c>
      <c r="B84" s="103" t="n"/>
      <c r="C84" s="103" t="n"/>
      <c r="D84" s="103" t="n"/>
      <c r="E84" s="103" t="n"/>
      <c r="F84" s="103" t="n"/>
    </row>
    <row r="85" ht="39.75" customHeight="1" s="68">
      <c r="A85" s="119" t="n"/>
      <c r="B85" s="120" t="n"/>
      <c r="C85" s="120" t="n"/>
      <c r="D85" s="120" t="n"/>
      <c r="E85" s="120" t="n"/>
      <c r="F85" s="120" t="n"/>
    </row>
    <row r="86" ht="14.25" customHeight="1" s="68">
      <c r="A86" s="121" t="n"/>
      <c r="B86" s="122" t="n"/>
      <c r="C86" s="122" t="n"/>
      <c r="D86" s="122" t="n"/>
      <c r="E86" s="122" t="n"/>
      <c r="F86" s="122" t="n"/>
    </row>
    <row r="87" ht="14.25" customHeight="1" s="68">
      <c r="A87" s="114" t="n"/>
      <c r="B87" s="114" t="n"/>
      <c r="C87" s="114" t="n"/>
    </row>
  </sheetData>
  <mergeCells count="17">
    <mergeCell ref="A16:F16"/>
    <mergeCell ref="A33:F33"/>
    <mergeCell ref="A54:F54"/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40916C"/>
    <outlinePr summaryBelow="1" summaryRight="1"/>
    <pageSetUpPr fitToPage="0"/>
  </sheetPr>
  <dimension ref="A1:N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4" activeCellId="0" sqref="B14"/>
    </sheetView>
  </sheetViews>
  <sheetFormatPr baseColWidth="8" defaultColWidth="8.66796875" defaultRowHeight="14.25" zeroHeight="0" outlineLevelRow="0"/>
  <cols>
    <col width="22" customWidth="1" style="67" min="1" max="1"/>
    <col width="8" customWidth="1" style="67" min="2" max="2"/>
    <col width="16" customWidth="1" style="67" min="3" max="3"/>
    <col width="2" customWidth="1" style="67" min="4" max="4"/>
    <col width="14" customWidth="1" style="67" min="5" max="5"/>
    <col width="16" customWidth="1" style="67" min="6" max="6"/>
    <col width="14" customWidth="1" style="67" min="8" max="8"/>
    <col width="8" customWidth="1" style="67" min="9" max="9"/>
    <col width="10" customWidth="1" style="67" min="10" max="12"/>
    <col width="13" customWidth="1" style="67" min="13" max="13"/>
    <col width="20" customWidth="1" style="67" min="14" max="14"/>
  </cols>
  <sheetData>
    <row r="1" ht="30" customHeight="1" s="68">
      <c r="A1" s="84" t="inlineStr">
        <is>
          <t>🌿  CARPA 4</t>
        </is>
      </c>
      <c r="H1" s="79" t="inlineStr">
        <is>
          <t>HISTORIAL pH / EC / TEMP / HUM</t>
        </is>
      </c>
    </row>
    <row r="2" ht="24" customHeight="1" s="68">
      <c r="H2" s="80" t="inlineStr">
        <is>
          <t>Fecha</t>
        </is>
      </c>
      <c r="I2" s="80" t="inlineStr">
        <is>
          <t>pH</t>
        </is>
      </c>
      <c r="J2" s="80" t="inlineStr">
        <is>
          <t>EC (ppm)</t>
        </is>
      </c>
      <c r="K2" s="80" t="inlineStr">
        <is>
          <t>Temp °C</t>
        </is>
      </c>
      <c r="L2" s="80" t="inlineStr">
        <is>
          <t>Hum %</t>
        </is>
      </c>
      <c r="M2" s="72" t="inlineStr">
        <is>
          <t>PPFD
(µmol/m²/s)</t>
        </is>
      </c>
      <c r="N2" s="80" t="inlineStr">
        <is>
          <t>Notas</t>
        </is>
      </c>
    </row>
    <row r="3" ht="19.5" customHeight="1" s="68">
      <c r="A3" s="102" t="inlineStr">
        <is>
          <t>CICLO 1</t>
        </is>
      </c>
      <c r="B3" s="103" t="n"/>
      <c r="C3" s="103" t="n"/>
      <c r="D3" s="103" t="n"/>
      <c r="E3" s="103" t="n"/>
      <c r="F3" s="103" t="n"/>
      <c r="H3" s="81" t="n"/>
      <c r="I3" s="82" t="n"/>
      <c r="J3" s="82" t="n"/>
      <c r="K3" s="82" t="n"/>
      <c r="L3" s="82" t="n"/>
      <c r="M3" s="75" t="n"/>
      <c r="N3" s="82" t="n"/>
    </row>
    <row r="4" ht="14.25" customHeight="1" s="68">
      <c r="A4" s="86" t="inlineStr">
        <is>
          <t>Etapa</t>
        </is>
      </c>
      <c r="B4" s="86" t="inlineStr">
        <is>
          <t>Días</t>
        </is>
      </c>
      <c r="C4" s="86" t="inlineStr">
        <is>
          <t>Fecha Inicio</t>
        </is>
      </c>
      <c r="H4" s="81" t="n"/>
      <c r="I4" s="82" t="n"/>
      <c r="J4" s="82" t="n"/>
      <c r="K4" s="82" t="n"/>
      <c r="L4" s="82" t="n"/>
      <c r="M4" s="75" t="n"/>
      <c r="N4" s="82" t="n"/>
    </row>
    <row r="5" ht="14.25" customHeight="1" s="68">
      <c r="A5" s="107" t="inlineStr">
        <is>
          <t>Ingreso a Carpa</t>
        </is>
      </c>
      <c r="B5" s="108" t="n">
        <v>20</v>
      </c>
      <c r="C5" s="94" t="n">
        <v>46182</v>
      </c>
      <c r="H5" s="81" t="n"/>
      <c r="I5" s="82" t="n"/>
      <c r="J5" s="82" t="n"/>
      <c r="K5" s="82" t="n"/>
      <c r="L5" s="82" t="n"/>
      <c r="M5" s="75" t="n"/>
      <c r="N5" s="82" t="n"/>
    </row>
    <row r="6" ht="14.25" customHeight="1" s="68">
      <c r="A6" s="110" t="inlineStr">
        <is>
          <t>Floración</t>
        </is>
      </c>
      <c r="B6" s="111" t="n">
        <v>63</v>
      </c>
      <c r="C6" s="112">
        <f>IF(C5="","",C5+B5)</f>
        <v/>
      </c>
      <c r="H6" s="81" t="n"/>
      <c r="I6" s="82" t="n"/>
      <c r="J6" s="82" t="n"/>
      <c r="K6" s="82" t="n"/>
      <c r="L6" s="82" t="n"/>
      <c r="M6" s="75" t="n"/>
      <c r="N6" s="82" t="n"/>
    </row>
    <row r="7" ht="14.25" customHeight="1" s="68">
      <c r="A7" s="107" t="inlineStr">
        <is>
          <t>Corte</t>
        </is>
      </c>
      <c r="B7" s="108" t="n">
        <v>1</v>
      </c>
      <c r="C7" s="109">
        <f>IF(C6="","",C6+B6)</f>
        <v/>
      </c>
      <c r="H7" s="81" t="n"/>
      <c r="I7" s="82" t="n"/>
      <c r="J7" s="82" t="n"/>
      <c r="K7" s="82" t="n"/>
      <c r="L7" s="82" t="n"/>
      <c r="M7" s="75" t="n"/>
      <c r="N7" s="82" t="n"/>
    </row>
    <row r="8" ht="14.25" customHeight="1" s="68">
      <c r="A8" s="110" t="inlineStr">
        <is>
          <t>Secado</t>
        </is>
      </c>
      <c r="B8" s="111" t="n">
        <v>7</v>
      </c>
      <c r="C8" s="112">
        <f>IF(C7="","",C7+B7)</f>
        <v/>
      </c>
      <c r="H8" s="81" t="n"/>
      <c r="I8" s="82" t="n"/>
      <c r="J8" s="82" t="n"/>
      <c r="K8" s="82" t="n"/>
      <c r="L8" s="82" t="n"/>
      <c r="M8" s="75" t="n"/>
      <c r="N8" s="82" t="n"/>
    </row>
    <row r="9" ht="14.25" customHeight="1" s="68">
      <c r="A9" s="107" t="inlineStr">
        <is>
          <t>Procesado</t>
        </is>
      </c>
      <c r="B9" s="108" t="n">
        <v>3</v>
      </c>
      <c r="C9" s="109">
        <f>IF(C8="","",C8+B8)</f>
        <v/>
      </c>
      <c r="H9" s="81" t="n"/>
      <c r="I9" s="82" t="n"/>
      <c r="J9" s="82" t="n"/>
      <c r="K9" s="82" t="n"/>
      <c r="L9" s="82" t="n"/>
      <c r="M9" s="75" t="n"/>
      <c r="N9" s="82" t="n"/>
    </row>
    <row r="10" ht="14.25" customHeight="1" s="68">
      <c r="A10" s="110" t="inlineStr">
        <is>
          <t>Disponible</t>
        </is>
      </c>
      <c r="B10" s="111" t="n"/>
      <c r="C10" s="112">
        <f>IF(C9="","",C9+B9)</f>
        <v/>
      </c>
      <c r="H10" s="81" t="n"/>
      <c r="I10" s="82" t="n"/>
      <c r="J10" s="82" t="n"/>
      <c r="K10" s="82" t="n"/>
      <c r="L10" s="82" t="n"/>
      <c r="M10" s="75" t="n"/>
      <c r="N10" s="82" t="n"/>
    </row>
    <row r="11" ht="14.25" customHeight="1" s="68">
      <c r="A11" s="114" t="n"/>
      <c r="B11" s="114" t="n"/>
      <c r="C11" s="114" t="n"/>
      <c r="H11" s="81" t="n"/>
      <c r="I11" s="82" t="n"/>
      <c r="J11" s="82" t="n"/>
      <c r="K11" s="82" t="n"/>
      <c r="L11" s="82" t="n"/>
      <c r="M11" s="75" t="n"/>
      <c r="N11" s="82" t="n"/>
    </row>
    <row r="12" ht="14.25" customHeight="1" s="68">
      <c r="A12" s="115" t="inlineStr">
        <is>
          <t>VARIEDADES</t>
        </is>
      </c>
      <c r="B12" s="116" t="inlineStr">
        <is>
          <t>Cant.</t>
        </is>
      </c>
      <c r="C12" s="114" t="n"/>
      <c r="H12" s="81" t="n"/>
      <c r="I12" s="82" t="n"/>
      <c r="J12" s="82" t="n"/>
      <c r="K12" s="82" t="n"/>
      <c r="L12" s="82" t="n"/>
      <c r="M12" s="75" t="n"/>
      <c r="N12" s="82" t="n"/>
    </row>
    <row r="13" ht="14.25" customHeight="1" s="68">
      <c r="A13" s="93" t="inlineStr">
        <is>
          <t>Coco</t>
        </is>
      </c>
      <c r="B13" s="75" t="n">
        <v>14</v>
      </c>
      <c r="C13" s="114" t="n"/>
      <c r="H13" s="81" t="n"/>
      <c r="I13" s="82" t="n"/>
      <c r="J13" s="82" t="n"/>
      <c r="K13" s="82" t="n"/>
      <c r="L13" s="82" t="n"/>
      <c r="M13" s="75" t="n"/>
      <c r="N13" s="82" t="n"/>
    </row>
    <row r="14" ht="14.25" customHeight="1" s="68">
      <c r="A14" s="117" t="inlineStr">
        <is>
          <t>TOTAL</t>
        </is>
      </c>
      <c r="B14" s="86">
        <f>SUM(B13:B13)</f>
        <v/>
      </c>
      <c r="C14" s="114" t="n"/>
      <c r="H14" s="81" t="n"/>
      <c r="I14" s="82" t="n"/>
      <c r="J14" s="82" t="n"/>
      <c r="K14" s="82" t="n"/>
      <c r="L14" s="82" t="n"/>
      <c r="M14" s="75" t="n"/>
      <c r="N14" s="82" t="n"/>
    </row>
    <row r="15" ht="14.25" customHeight="1" s="68">
      <c r="A15" s="114" t="n"/>
      <c r="B15" s="114" t="n"/>
      <c r="C15" s="114" t="n"/>
      <c r="H15" s="81" t="n"/>
      <c r="I15" s="82" t="n"/>
      <c r="J15" s="82" t="n"/>
      <c r="K15" s="82" t="n"/>
      <c r="L15" s="82" t="n"/>
      <c r="M15" s="75" t="n"/>
      <c r="N15" s="82" t="n"/>
    </row>
    <row r="16" ht="14.25" customHeight="1" s="68">
      <c r="A16" s="118" t="inlineStr">
        <is>
          <t>Observaciones:</t>
        </is>
      </c>
      <c r="B16" s="103" t="n"/>
      <c r="C16" s="103" t="n"/>
      <c r="D16" s="103" t="n"/>
      <c r="E16" s="103" t="n"/>
      <c r="F16" s="103" t="n"/>
      <c r="H16" s="81" t="n"/>
      <c r="I16" s="82" t="n"/>
      <c r="J16" s="82" t="n"/>
      <c r="K16" s="82" t="n"/>
      <c r="L16" s="82" t="n"/>
      <c r="M16" s="75" t="n"/>
      <c r="N16" s="82" t="n"/>
    </row>
    <row r="17" ht="39.75" customHeight="1" s="68">
      <c r="A17" s="119" t="n"/>
      <c r="B17" s="120" t="n"/>
      <c r="C17" s="120" t="n"/>
      <c r="D17" s="120" t="n"/>
      <c r="E17" s="120" t="n"/>
      <c r="F17" s="120" t="n"/>
      <c r="H17" s="81" t="n"/>
      <c r="I17" s="82" t="n"/>
      <c r="J17" s="82" t="n"/>
      <c r="K17" s="82" t="n"/>
      <c r="L17" s="82" t="n"/>
      <c r="M17" s="75" t="n"/>
      <c r="N17" s="82" t="n"/>
    </row>
    <row r="18" ht="14.25" customHeight="1" s="68">
      <c r="A18" s="121" t="n"/>
      <c r="B18" s="122" t="n"/>
      <c r="C18" s="122" t="n"/>
      <c r="D18" s="122" t="n"/>
      <c r="E18" s="122" t="n"/>
      <c r="F18" s="122" t="n"/>
      <c r="H18" s="81" t="n"/>
      <c r="I18" s="82" t="n"/>
      <c r="J18" s="82" t="n"/>
      <c r="K18" s="82" t="n"/>
      <c r="L18" s="82" t="n"/>
      <c r="M18" s="75" t="n"/>
      <c r="N18" s="82" t="n"/>
    </row>
    <row r="19" ht="14.25" customHeight="1" s="68">
      <c r="A19" s="114" t="n"/>
      <c r="B19" s="114" t="n"/>
      <c r="C19" s="114" t="n"/>
      <c r="H19" s="81" t="n"/>
      <c r="I19" s="82" t="n"/>
      <c r="J19" s="82" t="n"/>
      <c r="K19" s="82" t="n"/>
      <c r="L19" s="82" t="n"/>
      <c r="M19" s="75" t="n"/>
      <c r="N19" s="82" t="n"/>
    </row>
    <row r="20" ht="19.5" customHeight="1" s="68">
      <c r="A20" s="102" t="inlineStr">
        <is>
          <t>CICLO 2</t>
        </is>
      </c>
      <c r="B20" s="103" t="n"/>
      <c r="C20" s="103" t="n"/>
      <c r="D20" s="103" t="n"/>
      <c r="E20" s="103" t="n"/>
      <c r="F20" s="103" t="n"/>
    </row>
    <row r="21" ht="14.25" customHeight="1" s="68">
      <c r="A21" s="86" t="inlineStr">
        <is>
          <t>Etapa</t>
        </is>
      </c>
      <c r="B21" s="86" t="inlineStr">
        <is>
          <t>Días</t>
        </is>
      </c>
      <c r="C21" s="86" t="inlineStr">
        <is>
          <t>Fecha Inicio</t>
        </is>
      </c>
    </row>
    <row r="22" ht="14.25" customHeight="1" s="68">
      <c r="A22" s="107" t="inlineStr">
        <is>
          <t>Ingreso a Carpa</t>
        </is>
      </c>
      <c r="B22" s="108" t="n">
        <v>20</v>
      </c>
      <c r="C22" s="94">
        <f>C9+1</f>
        <v/>
      </c>
    </row>
    <row r="23" ht="14.25" customHeight="1" s="68">
      <c r="A23" s="110" t="inlineStr">
        <is>
          <t>Floración</t>
        </is>
      </c>
      <c r="B23" s="111" t="n">
        <v>63</v>
      </c>
      <c r="C23" s="112">
        <f>IF(C22="","",C22+B22)</f>
        <v/>
      </c>
    </row>
    <row r="24" ht="14.25" customHeight="1" s="68">
      <c r="A24" s="107" t="inlineStr">
        <is>
          <t>Corte</t>
        </is>
      </c>
      <c r="B24" s="108" t="n">
        <v>1</v>
      </c>
      <c r="C24" s="109">
        <f>IF(C23="","",C23+B23)</f>
        <v/>
      </c>
    </row>
    <row r="25" ht="14.25" customHeight="1" s="68">
      <c r="A25" s="110" t="inlineStr">
        <is>
          <t>Secado</t>
        </is>
      </c>
      <c r="B25" s="111" t="n">
        <v>7</v>
      </c>
      <c r="C25" s="112">
        <f>IF(C24="","",C24+B24)</f>
        <v/>
      </c>
    </row>
    <row r="26" ht="14.25" customHeight="1" s="68">
      <c r="A26" s="107" t="inlineStr">
        <is>
          <t>Procesado</t>
        </is>
      </c>
      <c r="B26" s="108" t="n">
        <v>3</v>
      </c>
      <c r="C26" s="109">
        <f>IF(C25="","",C25+B25)</f>
        <v/>
      </c>
    </row>
    <row r="27" ht="14.25" customHeight="1" s="68">
      <c r="A27" s="110" t="inlineStr">
        <is>
          <t>Disponible</t>
        </is>
      </c>
      <c r="B27" s="111" t="n"/>
      <c r="C27" s="112">
        <f>IF(C26="","",C26+B26)</f>
        <v/>
      </c>
    </row>
    <row r="28" ht="14.25" customHeight="1" s="68">
      <c r="A28" s="114" t="n"/>
      <c r="B28" s="114" t="n"/>
      <c r="C28" s="114" t="n"/>
    </row>
    <row r="29" ht="14.25" customHeight="1" s="68">
      <c r="A29" s="115" t="inlineStr">
        <is>
          <t>VARIEDADES</t>
        </is>
      </c>
      <c r="B29" s="116" t="inlineStr">
        <is>
          <t>Cant.</t>
        </is>
      </c>
      <c r="C29" s="114" t="n"/>
    </row>
    <row r="30" ht="14.25" customHeight="1" s="68">
      <c r="A30" s="93" t="n"/>
      <c r="B30" s="75" t="n"/>
      <c r="C30" s="114" t="n"/>
    </row>
    <row r="31" ht="14.25" customHeight="1" s="68">
      <c r="A31" s="117" t="inlineStr">
        <is>
          <t>TOTAL</t>
        </is>
      </c>
      <c r="B31" s="86">
        <f>SUM(B30:B30)</f>
        <v/>
      </c>
      <c r="C31" s="114" t="n"/>
    </row>
    <row r="32" ht="14.25" customHeight="1" s="68">
      <c r="A32" s="114" t="n"/>
      <c r="B32" s="114" t="n"/>
      <c r="C32" s="114" t="n"/>
    </row>
    <row r="33" ht="14.25" customHeight="1" s="68">
      <c r="A33" s="118" t="inlineStr">
        <is>
          <t>Observaciones:</t>
        </is>
      </c>
      <c r="B33" s="103" t="n"/>
      <c r="C33" s="103" t="n"/>
      <c r="D33" s="103" t="n"/>
      <c r="E33" s="103" t="n"/>
      <c r="F33" s="103" t="n"/>
    </row>
    <row r="34" ht="39.75" customHeight="1" s="68">
      <c r="A34" s="119" t="n"/>
      <c r="B34" s="120" t="n"/>
      <c r="C34" s="120" t="n"/>
      <c r="D34" s="120" t="n"/>
      <c r="E34" s="120" t="n"/>
      <c r="F34" s="120" t="n"/>
    </row>
    <row r="35" ht="14.25" customHeight="1" s="68">
      <c r="A35" s="121" t="n"/>
      <c r="B35" s="122" t="n"/>
      <c r="C35" s="122" t="n"/>
      <c r="D35" s="122" t="n"/>
      <c r="E35" s="122" t="n"/>
      <c r="F35" s="122" t="n"/>
    </row>
    <row r="36" ht="14.25" customHeight="1" s="68">
      <c r="A36" s="114" t="n"/>
      <c r="B36" s="114" t="n"/>
      <c r="C36" s="114" t="n"/>
    </row>
    <row r="37" ht="19.5" customHeight="1" s="68">
      <c r="A37" s="102" t="inlineStr">
        <is>
          <t>CICLO 3</t>
        </is>
      </c>
      <c r="B37" s="103" t="n"/>
      <c r="C37" s="103" t="n"/>
      <c r="D37" s="103" t="n"/>
      <c r="E37" s="103" t="n"/>
      <c r="F37" s="103" t="n"/>
    </row>
    <row r="38" ht="14.25" customHeight="1" s="68">
      <c r="A38" s="86" t="inlineStr">
        <is>
          <t>Etapa</t>
        </is>
      </c>
      <c r="B38" s="86" t="inlineStr">
        <is>
          <t>Días</t>
        </is>
      </c>
      <c r="C38" s="86" t="inlineStr">
        <is>
          <t>Fecha Inicio</t>
        </is>
      </c>
    </row>
    <row r="39" ht="14.25" customHeight="1" s="68">
      <c r="A39" s="107" t="inlineStr">
        <is>
          <t>Ingreso a Carpa</t>
        </is>
      </c>
      <c r="B39" s="108" t="n">
        <v>20</v>
      </c>
      <c r="C39" s="94">
        <f>C26+1</f>
        <v/>
      </c>
    </row>
    <row r="40" ht="14.25" customHeight="1" s="68">
      <c r="A40" s="110" t="inlineStr">
        <is>
          <t>Floración</t>
        </is>
      </c>
      <c r="B40" s="111" t="n">
        <v>63</v>
      </c>
      <c r="C40" s="112">
        <f>IF(C39="","",C39+B39)</f>
        <v/>
      </c>
    </row>
    <row r="41" ht="14.25" customHeight="1" s="68">
      <c r="A41" s="107" t="inlineStr">
        <is>
          <t>Corte</t>
        </is>
      </c>
      <c r="B41" s="108" t="n">
        <v>1</v>
      </c>
      <c r="C41" s="109">
        <f>IF(C40="","",C40+B40)</f>
        <v/>
      </c>
    </row>
    <row r="42" ht="14.25" customHeight="1" s="68">
      <c r="A42" s="110" t="inlineStr">
        <is>
          <t>Secado</t>
        </is>
      </c>
      <c r="B42" s="111" t="n">
        <v>7</v>
      </c>
      <c r="C42" s="112">
        <f>IF(C41="","",C41+B41)</f>
        <v/>
      </c>
    </row>
    <row r="43" ht="14.25" customHeight="1" s="68">
      <c r="A43" s="107" t="inlineStr">
        <is>
          <t>Procesado</t>
        </is>
      </c>
      <c r="B43" s="108" t="n">
        <v>3</v>
      </c>
      <c r="C43" s="109">
        <f>IF(C42="","",C42+B42)</f>
        <v/>
      </c>
    </row>
    <row r="44" ht="14.25" customHeight="1" s="68">
      <c r="A44" s="110" t="inlineStr">
        <is>
          <t>Disponible</t>
        </is>
      </c>
      <c r="B44" s="111" t="n"/>
      <c r="C44" s="112">
        <f>IF(C43="","",C43+B43)</f>
        <v/>
      </c>
    </row>
    <row r="45" ht="14.25" customHeight="1" s="68">
      <c r="A45" s="114" t="n"/>
      <c r="B45" s="114" t="n"/>
      <c r="C45" s="114" t="n"/>
    </row>
    <row r="46" ht="14.25" customHeight="1" s="68">
      <c r="A46" s="115" t="inlineStr">
        <is>
          <t>VARIEDADES</t>
        </is>
      </c>
      <c r="B46" s="116" t="inlineStr">
        <is>
          <t>Cant.</t>
        </is>
      </c>
      <c r="C46" s="114" t="n"/>
    </row>
    <row r="47" ht="14.25" customHeight="1" s="68">
      <c r="A47" s="93" t="n"/>
      <c r="B47" s="75" t="n"/>
      <c r="C47" s="114" t="n"/>
    </row>
    <row r="48" ht="14.25" customHeight="1" s="68">
      <c r="A48" s="117" t="inlineStr">
        <is>
          <t>TOTAL</t>
        </is>
      </c>
      <c r="B48" s="86">
        <f>SUM(B47:B47)</f>
        <v/>
      </c>
      <c r="C48" s="114" t="n"/>
    </row>
    <row r="49" ht="14.25" customHeight="1" s="68">
      <c r="A49" s="114" t="n"/>
      <c r="B49" s="114" t="n"/>
      <c r="C49" s="114" t="n"/>
    </row>
    <row r="50" ht="14.25" customHeight="1" s="68">
      <c r="A50" s="118" t="inlineStr">
        <is>
          <t>Observaciones:</t>
        </is>
      </c>
      <c r="B50" s="103" t="n"/>
      <c r="C50" s="103" t="n"/>
      <c r="D50" s="103" t="n"/>
      <c r="E50" s="103" t="n"/>
      <c r="F50" s="103" t="n"/>
    </row>
    <row r="51" ht="39.75" customHeight="1" s="68">
      <c r="A51" s="119" t="n"/>
      <c r="B51" s="120" t="n"/>
      <c r="C51" s="120" t="n"/>
      <c r="D51" s="120" t="n"/>
      <c r="E51" s="120" t="n"/>
      <c r="F51" s="120" t="n"/>
    </row>
    <row r="52" ht="14.25" customHeight="1" s="68">
      <c r="A52" s="121" t="n"/>
      <c r="B52" s="122" t="n"/>
      <c r="C52" s="122" t="n"/>
      <c r="D52" s="122" t="n"/>
      <c r="E52" s="122" t="n"/>
      <c r="F52" s="122" t="n"/>
    </row>
    <row r="53" ht="14.25" customHeight="1" s="68">
      <c r="A53" s="114" t="n"/>
      <c r="B53" s="114" t="n"/>
      <c r="C53" s="114" t="n"/>
    </row>
    <row r="54" ht="19.5" customHeight="1" s="68">
      <c r="A54" s="102" t="inlineStr">
        <is>
          <t>CICLO 4</t>
        </is>
      </c>
      <c r="B54" s="103" t="n"/>
      <c r="C54" s="103" t="n"/>
      <c r="D54" s="103" t="n"/>
      <c r="E54" s="103" t="n"/>
      <c r="F54" s="103" t="n"/>
    </row>
    <row r="55" ht="14.25" customHeight="1" s="68">
      <c r="A55" s="86" t="inlineStr">
        <is>
          <t>Etapa</t>
        </is>
      </c>
      <c r="B55" s="86" t="inlineStr">
        <is>
          <t>Días</t>
        </is>
      </c>
      <c r="C55" s="86" t="inlineStr">
        <is>
          <t>Fecha Inicio</t>
        </is>
      </c>
    </row>
    <row r="56" ht="14.25" customHeight="1" s="68">
      <c r="A56" s="107" t="inlineStr">
        <is>
          <t>Ingreso a Carpa</t>
        </is>
      </c>
      <c r="B56" s="108" t="n">
        <v>20</v>
      </c>
      <c r="C56" s="94">
        <f>C43+1</f>
        <v/>
      </c>
    </row>
    <row r="57" ht="14.25" customHeight="1" s="68">
      <c r="A57" s="110" t="inlineStr">
        <is>
          <t>Floración</t>
        </is>
      </c>
      <c r="B57" s="111" t="n">
        <v>63</v>
      </c>
      <c r="C57" s="112">
        <f>IF(C56="","",C56+B56)</f>
        <v/>
      </c>
    </row>
    <row r="58" ht="14.25" customHeight="1" s="68">
      <c r="A58" s="107" t="inlineStr">
        <is>
          <t>Corte</t>
        </is>
      </c>
      <c r="B58" s="108" t="n">
        <v>1</v>
      </c>
      <c r="C58" s="109">
        <f>IF(C57="","",C57+B57)</f>
        <v/>
      </c>
    </row>
    <row r="59" ht="14.25" customHeight="1" s="68">
      <c r="A59" s="110" t="inlineStr">
        <is>
          <t>Secado</t>
        </is>
      </c>
      <c r="B59" s="111" t="n">
        <v>7</v>
      </c>
      <c r="C59" s="112">
        <f>IF(C58="","",C58+B58)</f>
        <v/>
      </c>
    </row>
    <row r="60" ht="14.25" customHeight="1" s="68">
      <c r="A60" s="107" t="inlineStr">
        <is>
          <t>Procesado</t>
        </is>
      </c>
      <c r="B60" s="108" t="n">
        <v>3</v>
      </c>
      <c r="C60" s="109">
        <f>IF(C59="","",C59+B59)</f>
        <v/>
      </c>
    </row>
    <row r="61" ht="14.25" customHeight="1" s="68">
      <c r="A61" s="110" t="inlineStr">
        <is>
          <t>Disponible</t>
        </is>
      </c>
      <c r="B61" s="111" t="n"/>
      <c r="C61" s="112">
        <f>IF(C60="","",C60+B60)</f>
        <v/>
      </c>
    </row>
    <row r="62" ht="14.25" customHeight="1" s="68">
      <c r="A62" s="114" t="n"/>
      <c r="B62" s="114" t="n"/>
      <c r="C62" s="114" t="n"/>
    </row>
    <row r="63" ht="14.25" customHeight="1" s="68">
      <c r="A63" s="115" t="inlineStr">
        <is>
          <t>VARIEDADES</t>
        </is>
      </c>
      <c r="B63" s="116" t="inlineStr">
        <is>
          <t>Cant.</t>
        </is>
      </c>
      <c r="C63" s="114" t="n"/>
    </row>
    <row r="64" ht="14.25" customHeight="1" s="68">
      <c r="A64" s="93" t="n"/>
      <c r="B64" s="75" t="n"/>
      <c r="C64" s="114" t="n"/>
    </row>
    <row r="65" ht="14.25" customHeight="1" s="68">
      <c r="A65" s="117" t="inlineStr">
        <is>
          <t>TOTAL</t>
        </is>
      </c>
      <c r="B65" s="86">
        <f>SUM(B64:B64)</f>
        <v/>
      </c>
      <c r="C65" s="114" t="n"/>
    </row>
    <row r="66" ht="14.25" customHeight="1" s="68">
      <c r="A66" s="114" t="n"/>
      <c r="B66" s="114" t="n"/>
      <c r="C66" s="114" t="n"/>
    </row>
    <row r="67" ht="14.25" customHeight="1" s="68">
      <c r="A67" s="118" t="inlineStr">
        <is>
          <t>Observaciones:</t>
        </is>
      </c>
      <c r="B67" s="103" t="n"/>
      <c r="C67" s="103" t="n"/>
      <c r="D67" s="103" t="n"/>
      <c r="E67" s="103" t="n"/>
      <c r="F67" s="103" t="n"/>
    </row>
    <row r="68" ht="39.75" customHeight="1" s="68">
      <c r="A68" s="119" t="n"/>
      <c r="B68" s="120" t="n"/>
      <c r="C68" s="120" t="n"/>
      <c r="D68" s="120" t="n"/>
      <c r="E68" s="120" t="n"/>
      <c r="F68" s="120" t="n"/>
    </row>
    <row r="69" ht="14.25" customHeight="1" s="68">
      <c r="A69" s="121" t="n"/>
      <c r="B69" s="122" t="n"/>
      <c r="C69" s="122" t="n"/>
      <c r="D69" s="122" t="n"/>
      <c r="E69" s="122" t="n"/>
      <c r="F69" s="122" t="n"/>
    </row>
    <row r="70" ht="14.25" customHeight="1" s="68">
      <c r="A70" s="114" t="n"/>
      <c r="B70" s="114" t="n"/>
      <c r="C70" s="114" t="n"/>
    </row>
    <row r="71" ht="19.5" customHeight="1" s="68">
      <c r="A71" s="102" t="inlineStr">
        <is>
          <t>CICLO 5</t>
        </is>
      </c>
      <c r="B71" s="103" t="n"/>
      <c r="C71" s="103" t="n"/>
      <c r="D71" s="103" t="n"/>
      <c r="E71" s="103" t="n"/>
      <c r="F71" s="103" t="n"/>
    </row>
    <row r="72" ht="14.25" customHeight="1" s="68">
      <c r="A72" s="86" t="inlineStr">
        <is>
          <t>Etapa</t>
        </is>
      </c>
      <c r="B72" s="86" t="inlineStr">
        <is>
          <t>Días</t>
        </is>
      </c>
      <c r="C72" s="86" t="inlineStr">
        <is>
          <t>Fecha Inicio</t>
        </is>
      </c>
    </row>
    <row r="73" ht="14.25" customHeight="1" s="68">
      <c r="A73" s="107" t="inlineStr">
        <is>
          <t>Ingreso a Carpa</t>
        </is>
      </c>
      <c r="B73" s="108" t="n">
        <v>20</v>
      </c>
      <c r="C73" s="94">
        <f>C60+1</f>
        <v/>
      </c>
    </row>
    <row r="74" ht="14.25" customHeight="1" s="68">
      <c r="A74" s="110" t="inlineStr">
        <is>
          <t>Floración</t>
        </is>
      </c>
      <c r="B74" s="111" t="n">
        <v>63</v>
      </c>
      <c r="C74" s="112">
        <f>IF(C73="","",C73+B73)</f>
        <v/>
      </c>
    </row>
    <row r="75" ht="14.25" customHeight="1" s="68">
      <c r="A75" s="107" t="inlineStr">
        <is>
          <t>Corte</t>
        </is>
      </c>
      <c r="B75" s="108" t="n">
        <v>1</v>
      </c>
      <c r="C75" s="109">
        <f>IF(C74="","",C74+B74)</f>
        <v/>
      </c>
    </row>
    <row r="76" ht="14.25" customHeight="1" s="68">
      <c r="A76" s="110" t="inlineStr">
        <is>
          <t>Secado</t>
        </is>
      </c>
      <c r="B76" s="111" t="n">
        <v>7</v>
      </c>
      <c r="C76" s="112">
        <f>IF(C75="","",C75+B75)</f>
        <v/>
      </c>
    </row>
    <row r="77" ht="14.25" customHeight="1" s="68">
      <c r="A77" s="107" t="inlineStr">
        <is>
          <t>Procesado</t>
        </is>
      </c>
      <c r="B77" s="108" t="n">
        <v>3</v>
      </c>
      <c r="C77" s="109">
        <f>IF(C76="","",C76+B76)</f>
        <v/>
      </c>
    </row>
    <row r="78" ht="14.25" customHeight="1" s="68">
      <c r="A78" s="110" t="inlineStr">
        <is>
          <t>Disponible</t>
        </is>
      </c>
      <c r="B78" s="111" t="n"/>
      <c r="C78" s="112">
        <f>IF(C77="","",C77+B77)</f>
        <v/>
      </c>
    </row>
    <row r="79" ht="14.25" customHeight="1" s="68">
      <c r="A79" s="114" t="n"/>
      <c r="B79" s="114" t="n"/>
      <c r="C79" s="114" t="n"/>
    </row>
    <row r="80" ht="14.25" customHeight="1" s="68">
      <c r="A80" s="115" t="inlineStr">
        <is>
          <t>VARIEDADES</t>
        </is>
      </c>
      <c r="B80" s="116" t="inlineStr">
        <is>
          <t>Cant.</t>
        </is>
      </c>
      <c r="C80" s="114" t="n"/>
    </row>
    <row r="81" ht="14.25" customHeight="1" s="68">
      <c r="A81" s="93" t="n"/>
      <c r="B81" s="75" t="n"/>
      <c r="C81" s="114" t="n"/>
    </row>
    <row r="82" ht="14.25" customHeight="1" s="68">
      <c r="A82" s="117" t="inlineStr">
        <is>
          <t>TOTAL</t>
        </is>
      </c>
      <c r="B82" s="86">
        <f>SUM(B81:B81)</f>
        <v/>
      </c>
      <c r="C82" s="114" t="n"/>
    </row>
    <row r="83" ht="14.25" customHeight="1" s="68">
      <c r="A83" s="114" t="n"/>
      <c r="B83" s="114" t="n"/>
      <c r="C83" s="114" t="n"/>
    </row>
    <row r="84" ht="14.25" customHeight="1" s="68">
      <c r="A84" s="118" t="inlineStr">
        <is>
          <t>Observaciones:</t>
        </is>
      </c>
      <c r="B84" s="103" t="n"/>
      <c r="C84" s="103" t="n"/>
      <c r="D84" s="103" t="n"/>
      <c r="E84" s="103" t="n"/>
      <c r="F84" s="103" t="n"/>
    </row>
    <row r="85" ht="39.75" customHeight="1" s="68">
      <c r="A85" s="119" t="n"/>
      <c r="B85" s="120" t="n"/>
      <c r="C85" s="120" t="n"/>
      <c r="D85" s="120" t="n"/>
      <c r="E85" s="120" t="n"/>
      <c r="F85" s="120" t="n"/>
    </row>
    <row r="86" ht="14.25" customHeight="1" s="68">
      <c r="A86" s="121" t="n"/>
      <c r="B86" s="122" t="n"/>
      <c r="C86" s="122" t="n"/>
      <c r="D86" s="122" t="n"/>
      <c r="E86" s="122" t="n"/>
      <c r="F86" s="122" t="n"/>
    </row>
    <row r="87" ht="14.25" customHeight="1" s="68">
      <c r="A87" s="114" t="n"/>
      <c r="B87" s="114" t="n"/>
      <c r="C87" s="114" t="n"/>
    </row>
  </sheetData>
  <mergeCells count="17">
    <mergeCell ref="A16:F16"/>
    <mergeCell ref="A33:F33"/>
    <mergeCell ref="A54:F54"/>
    <mergeCell ref="H1:M1"/>
    <mergeCell ref="A71:F71"/>
    <mergeCell ref="A84:F84"/>
    <mergeCell ref="A85:F86"/>
    <mergeCell ref="A68:F69"/>
    <mergeCell ref="A1:F1"/>
    <mergeCell ref="A37:F37"/>
    <mergeCell ref="A67:F67"/>
    <mergeCell ref="A17:F18"/>
    <mergeCell ref="A50:F50"/>
    <mergeCell ref="A34:F35"/>
    <mergeCell ref="A51:F52"/>
    <mergeCell ref="A3:F3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40916C"/>
    <outlinePr summaryBelow="1" summaryRight="1"/>
    <pageSetUpPr fitToPage="0"/>
  </sheetPr>
  <dimension ref="A1:G77"/>
  <sheetViews>
    <sheetView showFormulas="0" showGridLines="0" showRowColHeaders="1" showZeros="1" rightToLeft="0" tabSelected="0" showOutlineSymbols="1" defaultGridColor="1" view="normal" topLeftCell="A47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2" customWidth="1" style="67" min="1" max="1"/>
    <col width="14" customWidth="1" style="67" min="2" max="2"/>
    <col width="18" customWidth="1" style="67" min="3" max="3"/>
    <col width="11" customWidth="1" style="67" min="4" max="4"/>
    <col width="16" customWidth="1" style="67" min="5" max="6"/>
    <col width="26" customWidth="1" style="67" min="7" max="7"/>
  </cols>
  <sheetData>
    <row r="1" ht="27.75" customHeight="1" s="68">
      <c r="A1" s="96" t="inlineStr">
        <is>
          <t>⚖️  REGISTRO DE PESOS — Cosechas por Sala/Carpa (peso final seco)</t>
        </is>
      </c>
    </row>
    <row r="2" ht="30" customHeight="1" s="68">
      <c r="A2" s="97" t="inlineStr">
        <is>
      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      </is>
      </c>
    </row>
    <row r="4" ht="21.75" customHeight="1" s="68">
      <c r="A4" s="124" t="inlineStr">
        <is>
          <t>SALA 1</t>
        </is>
      </c>
      <c r="B4" s="103" t="n"/>
      <c r="C4" s="103" t="n"/>
      <c r="D4" s="103" t="n"/>
      <c r="E4" s="103" t="n"/>
      <c r="F4" s="103" t="n"/>
      <c r="G4" s="125" t="n"/>
    </row>
    <row r="5" ht="25.5" customHeight="1" s="68">
      <c r="A5" s="72" t="inlineStr">
        <is>
          <t>Ciclo</t>
        </is>
      </c>
      <c r="B5" s="72" t="inlineStr">
        <is>
          <t>Fecha Corte</t>
        </is>
      </c>
      <c r="C5" s="72" t="inlineStr">
        <is>
          <t>Variedad</t>
        </is>
      </c>
      <c r="D5" s="72" t="inlineStr">
        <is>
          <t>% Plantas</t>
        </is>
      </c>
      <c r="E5" s="72" t="inlineStr">
        <is>
          <t>Peso Final Seco (g)</t>
        </is>
      </c>
      <c r="F5" s="72" t="inlineStr">
        <is>
          <t>Peso Final Seco (kg)</t>
        </is>
      </c>
      <c r="G5" s="72" t="inlineStr">
        <is>
          <t>Notas</t>
        </is>
      </c>
    </row>
    <row r="6" ht="15" customHeight="1" s="68">
      <c r="A6" s="126" t="inlineStr">
        <is>
          <t>CICLO 1</t>
        </is>
      </c>
      <c r="B6" s="99">
        <f>IF('SALA 1'!C9="","",'SALA 1'!C9)</f>
        <v/>
      </c>
      <c r="C6" s="127" t="inlineStr">
        <is>
          <t>Coco</t>
        </is>
      </c>
      <c r="D6" s="128">
        <f>IF('SALA 1'!B18=0,"",'SALA 1'!B16/'SALA 1'!B18)</f>
        <v/>
      </c>
      <c r="E6" s="75" t="n"/>
      <c r="F6" s="108">
        <f>IF(E6="","",E6/1000)</f>
        <v/>
      </c>
      <c r="G6" s="93" t="n"/>
    </row>
    <row r="7" ht="15" customHeight="1" s="68">
      <c r="A7" s="127" t="n"/>
      <c r="B7" s="99">
        <f>IF('SALA 1'!C9="","",'SALA 1'!C9)</f>
        <v/>
      </c>
      <c r="C7" s="127" t="inlineStr">
        <is>
          <t>MR</t>
        </is>
      </c>
      <c r="D7" s="128">
        <f>IF('SALA 1'!B18=0,"",'SALA 1'!B17/'SALA 1'!B18)</f>
        <v/>
      </c>
      <c r="E7" s="108">
        <f>IF($E$6="","",$E$6*D7)</f>
        <v/>
      </c>
      <c r="F7" s="108">
        <f>IF(E7="","",E7/1000)</f>
        <v/>
      </c>
      <c r="G7" s="93" t="n"/>
    </row>
    <row r="8" ht="15" customHeight="1" s="68">
      <c r="A8" s="129" t="n"/>
      <c r="B8" s="129" t="n"/>
      <c r="C8" s="130" t="inlineStr">
        <is>
          <t>TOTAL CICLO</t>
        </is>
      </c>
      <c r="D8" s="129" t="n"/>
      <c r="E8" s="116">
        <f>IF(E6="","",E6)</f>
        <v/>
      </c>
      <c r="F8" s="116">
        <f>IF(E6="","",E6/1000)</f>
        <v/>
      </c>
      <c r="G8" s="129" t="n"/>
    </row>
    <row r="9" ht="15" customHeight="1" s="68">
      <c r="A9" s="126" t="inlineStr">
        <is>
          <t>CICLO 3</t>
        </is>
      </c>
      <c r="B9" s="99">
        <f>IF('SALA 1'!C52="","",'SALA 1'!C52)</f>
        <v/>
      </c>
      <c r="C9" s="127" t="inlineStr">
        <is>
          <t>(sin variedad)</t>
        </is>
      </c>
      <c r="D9" s="100" t="n"/>
      <c r="E9" s="75" t="n"/>
      <c r="F9" s="108">
        <f>IF(E9="","",E9/1000)</f>
        <v/>
      </c>
      <c r="G9" s="93" t="n"/>
    </row>
    <row r="10" ht="15" customHeight="1" s="68">
      <c r="A10" s="114" t="n"/>
      <c r="B10" s="114" t="n"/>
      <c r="C10" s="114" t="n"/>
      <c r="D10" s="114" t="n"/>
      <c r="E10" s="114" t="n"/>
      <c r="F10" s="114" t="n"/>
      <c r="G10" s="114" t="n"/>
    </row>
    <row r="11" ht="21.75" customHeight="1" s="68">
      <c r="A11" s="124" t="inlineStr">
        <is>
          <t>SALA 2</t>
        </is>
      </c>
      <c r="B11" s="103" t="n"/>
      <c r="C11" s="103" t="n"/>
      <c r="D11" s="103" t="n"/>
      <c r="E11" s="103" t="n"/>
      <c r="F11" s="103" t="n"/>
      <c r="G11" s="125" t="n"/>
    </row>
    <row r="12" ht="25.5" customHeight="1" s="68">
      <c r="A12" s="72" t="inlineStr">
        <is>
          <t>Ciclo</t>
        </is>
      </c>
      <c r="B12" s="72" t="inlineStr">
        <is>
          <t>Fecha Corte</t>
        </is>
      </c>
      <c r="C12" s="72" t="inlineStr">
        <is>
          <t>Variedad</t>
        </is>
      </c>
      <c r="D12" s="72" t="inlineStr">
        <is>
          <t>% Plantas</t>
        </is>
      </c>
      <c r="E12" s="72" t="inlineStr">
        <is>
          <t>Peso Final Seco (g)</t>
        </is>
      </c>
      <c r="F12" s="72" t="inlineStr">
        <is>
          <t>Peso Final Seco (kg)</t>
        </is>
      </c>
      <c r="G12" s="72" t="inlineStr">
        <is>
          <t>Notas</t>
        </is>
      </c>
    </row>
    <row r="13" ht="15" customHeight="1" s="68">
      <c r="A13" s="126" t="inlineStr">
        <is>
          <t>CICLO 1</t>
        </is>
      </c>
      <c r="B13" s="99">
        <f>IF('SALA 2'!C10="","",'SALA 2'!C10)</f>
        <v/>
      </c>
      <c r="C13" s="127" t="inlineStr">
        <is>
          <t>Guava</t>
        </is>
      </c>
      <c r="D13" s="128">
        <f>IF('SALA 2'!B18=0,"",'SALA 2'!B16/'SALA 2'!B18)</f>
        <v/>
      </c>
      <c r="E13" s="75" t="n"/>
      <c r="F13" s="108">
        <f>IF(E13="","",E13/1000)</f>
        <v/>
      </c>
      <c r="G13" s="93" t="n"/>
    </row>
    <row r="14" ht="15" customHeight="1" s="68">
      <c r="A14" s="127" t="n"/>
      <c r="B14" s="99">
        <f>IF('SALA 2'!C10="","",'SALA 2'!C10)</f>
        <v/>
      </c>
      <c r="C14" s="127" t="inlineStr">
        <is>
          <t>Mix</t>
        </is>
      </c>
      <c r="D14" s="128">
        <f>IF('SALA 2'!B18=0,"",'SALA 2'!B17/'SALA 2'!B18)</f>
        <v/>
      </c>
      <c r="E14" s="108">
        <f>IF($E$13="","",$E$13*D14)</f>
        <v/>
      </c>
      <c r="F14" s="108">
        <f>IF(E14="","",E14/1000)</f>
        <v/>
      </c>
      <c r="G14" s="93" t="n"/>
    </row>
    <row r="15" ht="15" customHeight="1" s="68">
      <c r="A15" s="129" t="n"/>
      <c r="B15" s="129" t="n"/>
      <c r="C15" s="130" t="inlineStr">
        <is>
          <t>TOTAL CICLO</t>
        </is>
      </c>
      <c r="D15" s="129" t="n"/>
      <c r="E15" s="116">
        <f>IF(E13="","",E13)</f>
        <v/>
      </c>
      <c r="F15" s="116">
        <f>IF(E13="","",E13/1000)</f>
        <v/>
      </c>
      <c r="G15" s="129" t="n"/>
    </row>
    <row r="16" ht="15" customHeight="1" s="68">
      <c r="A16" s="126" t="inlineStr">
        <is>
          <t>CICLO 2</t>
        </is>
      </c>
      <c r="B16" s="99">
        <f>IF('SALA 2'!C31="","",'SALA 2'!C31)</f>
        <v/>
      </c>
      <c r="C16" s="127" t="inlineStr">
        <is>
          <t>(sin variedad)</t>
        </is>
      </c>
      <c r="D16" s="100" t="n"/>
      <c r="E16" s="75" t="n"/>
      <c r="F16" s="108">
        <f>IF(E16="","",E16/1000)</f>
        <v/>
      </c>
      <c r="G16" s="93" t="n"/>
    </row>
    <row r="17" ht="15" customHeight="1" s="68">
      <c r="A17" s="126" t="inlineStr">
        <is>
          <t>CICLO 3</t>
        </is>
      </c>
      <c r="B17" s="99">
        <f>IF('SALA 2'!C52="","",'SALA 2'!C52)</f>
        <v/>
      </c>
      <c r="C17" s="127" t="inlineStr">
        <is>
          <t>(sin variedad)</t>
        </is>
      </c>
      <c r="D17" s="100" t="n"/>
      <c r="E17" s="75" t="n"/>
      <c r="F17" s="108">
        <f>IF(E17="","",E17/1000)</f>
        <v/>
      </c>
      <c r="G17" s="93" t="n"/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</row>
    <row r="19" ht="21.75" customHeight="1" s="68">
      <c r="A19" s="124" t="inlineStr">
        <is>
          <t>SALA 3</t>
        </is>
      </c>
      <c r="B19" s="103" t="n"/>
      <c r="C19" s="103" t="n"/>
      <c r="D19" s="103" t="n"/>
      <c r="E19" s="103" t="n"/>
      <c r="F19" s="103" t="n"/>
      <c r="G19" s="125" t="n"/>
    </row>
    <row r="20" ht="25.5" customHeight="1" s="68">
      <c r="A20" s="72" t="inlineStr">
        <is>
          <t>Ciclo</t>
        </is>
      </c>
      <c r="B20" s="72" t="inlineStr">
        <is>
          <t>Fecha Corte</t>
        </is>
      </c>
      <c r="C20" s="72" t="inlineStr">
        <is>
          <t>Variedad</t>
        </is>
      </c>
      <c r="D20" s="72" t="inlineStr">
        <is>
          <t>% Plantas</t>
        </is>
      </c>
      <c r="E20" s="72" t="inlineStr">
        <is>
          <t>Peso Final Seco (g)</t>
        </is>
      </c>
      <c r="F20" s="72" t="inlineStr">
        <is>
          <t>Peso Final Seco (kg)</t>
        </is>
      </c>
      <c r="G20" s="72" t="inlineStr">
        <is>
          <t>Notas</t>
        </is>
      </c>
    </row>
    <row r="21" ht="15" customHeight="1" s="68">
      <c r="A21" s="126" t="inlineStr">
        <is>
          <t>CICLO 1</t>
        </is>
      </c>
      <c r="B21" s="99">
        <f>IF('SALA 3'!C10="","",'SALA 3'!C10)</f>
        <v/>
      </c>
      <c r="C21" s="127" t="inlineStr">
        <is>
          <t>Lemon Cherry</t>
        </is>
      </c>
      <c r="D21" s="128">
        <f>IF('SALA 3'!B20=0,"",'SALA 3'!B16/'SALA 3'!B20)</f>
        <v/>
      </c>
      <c r="E21" s="75" t="n"/>
      <c r="F21" s="108">
        <f>IF(E21="","",E21/1000)</f>
        <v/>
      </c>
      <c r="G21" s="93" t="n"/>
    </row>
    <row r="22" ht="15" customHeight="1" s="68">
      <c r="A22" s="127" t="n"/>
      <c r="B22" s="99">
        <f>IF('SALA 3'!C10="","",'SALA 3'!C10)</f>
        <v/>
      </c>
      <c r="C22" s="127" t="inlineStr">
        <is>
          <t>Frozen Biscotti #2</t>
        </is>
      </c>
      <c r="D22" s="128">
        <f>IF('SALA 3'!B20=0,"",'SALA 3'!B17/'SALA 3'!B20)</f>
        <v/>
      </c>
      <c r="E22" s="108">
        <f>IF($E$21="","",$E$21*D22)</f>
        <v/>
      </c>
      <c r="F22" s="108">
        <f>IF(E22="","",E22/1000)</f>
        <v/>
      </c>
      <c r="G22" s="93" t="n"/>
    </row>
    <row r="23" ht="15" customHeight="1" s="68">
      <c r="A23" s="127" t="n"/>
      <c r="B23" s="99">
        <f>IF('SALA 3'!C10="","",'SALA 3'!C10)</f>
        <v/>
      </c>
      <c r="C23" s="127" t="inlineStr">
        <is>
          <t>HTT #4</t>
        </is>
      </c>
      <c r="D23" s="128">
        <f>IF('SALA 3'!B20=0,"",'SALA 3'!B18/'SALA 3'!B20)</f>
        <v/>
      </c>
      <c r="E23" s="108">
        <f>IF($E$21="","",$E$21*D23)</f>
        <v/>
      </c>
      <c r="F23" s="108">
        <f>IF(E23="","",E23/1000)</f>
        <v/>
      </c>
      <c r="G23" s="93" t="n"/>
    </row>
    <row r="24" ht="15" customHeight="1" s="68">
      <c r="A24" s="127" t="n"/>
      <c r="B24" s="99">
        <f>IF('SALA 3'!C10="","",'SALA 3'!C10)</f>
        <v/>
      </c>
      <c r="C24" s="127" t="inlineStr">
        <is>
          <t>Blue Zushi</t>
        </is>
      </c>
      <c r="D24" s="128">
        <f>IF('SALA 3'!B20=0,"",'SALA 3'!B19/'SALA 3'!B20)</f>
        <v/>
      </c>
      <c r="E24" s="108">
        <f>IF($E$21="","",$E$21*D24)</f>
        <v/>
      </c>
      <c r="F24" s="108">
        <f>IF(E24="","",E24/1000)</f>
        <v/>
      </c>
      <c r="G24" s="93" t="n"/>
    </row>
    <row r="25" ht="15" customHeight="1" s="68">
      <c r="A25" s="129" t="n"/>
      <c r="B25" s="129" t="n"/>
      <c r="C25" s="130" t="inlineStr">
        <is>
          <t>TOTAL CICLO</t>
        </is>
      </c>
      <c r="D25" s="129" t="n"/>
      <c r="E25" s="116">
        <f>IF(E21="","",E21)</f>
        <v/>
      </c>
      <c r="F25" s="116">
        <f>IF(E21="","",E21/1000)</f>
        <v/>
      </c>
      <c r="G25" s="129" t="n"/>
    </row>
    <row r="26" ht="15" customHeight="1" s="68">
      <c r="A26" s="126" t="inlineStr">
        <is>
          <t>CICLO 2</t>
        </is>
      </c>
      <c r="B26" s="99">
        <f>IF('SALA 3'!C33="","",'SALA 3'!C33)</f>
        <v/>
      </c>
      <c r="C26" s="127" t="inlineStr">
        <is>
          <t>(sin variedad)</t>
        </is>
      </c>
      <c r="D26" s="100" t="n"/>
      <c r="E26" s="75" t="n"/>
      <c r="F26" s="108">
        <f>IF(E26="","",E26/1000)</f>
        <v/>
      </c>
      <c r="G26" s="93" t="n"/>
    </row>
    <row r="27" ht="15" customHeight="1" s="68">
      <c r="A27" s="126" t="inlineStr">
        <is>
          <t>CICLO 3</t>
        </is>
      </c>
      <c r="B27" s="99">
        <f>IF('SALA 3'!C54="","",'SALA 3'!C54)</f>
        <v/>
      </c>
      <c r="C27" s="127" t="inlineStr">
        <is>
          <t>(sin variedad)</t>
        </is>
      </c>
      <c r="D27" s="100" t="n"/>
      <c r="E27" s="75" t="n"/>
      <c r="F27" s="108">
        <f>IF(E27="","",E27/1000)</f>
        <v/>
      </c>
      <c r="G27" s="93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</row>
    <row r="29" ht="21.75" customHeight="1" s="68">
      <c r="A29" s="124" t="inlineStr">
        <is>
          <t>SALA 4</t>
        </is>
      </c>
      <c r="B29" s="103" t="n"/>
      <c r="C29" s="103" t="n"/>
      <c r="D29" s="103" t="n"/>
      <c r="E29" s="103" t="n"/>
      <c r="F29" s="103" t="n"/>
      <c r="G29" s="125" t="n"/>
    </row>
    <row r="30" ht="25.5" customHeight="1" s="68">
      <c r="A30" s="72" t="inlineStr">
        <is>
          <t>Ciclo</t>
        </is>
      </c>
      <c r="B30" s="72" t="inlineStr">
        <is>
          <t>Fecha Corte</t>
        </is>
      </c>
      <c r="C30" s="72" t="inlineStr">
        <is>
          <t>Variedad</t>
        </is>
      </c>
      <c r="D30" s="72" t="inlineStr">
        <is>
          <t>% Plantas</t>
        </is>
      </c>
      <c r="E30" s="72" t="inlineStr">
        <is>
          <t>Peso Final Seco (g)</t>
        </is>
      </c>
      <c r="F30" s="72" t="inlineStr">
        <is>
          <t>Peso Final Seco (kg)</t>
        </is>
      </c>
      <c r="G30" s="72" t="inlineStr">
        <is>
          <t>Notas</t>
        </is>
      </c>
    </row>
    <row r="31" ht="15" customHeight="1" s="68">
      <c r="A31" s="126" t="inlineStr">
        <is>
          <t>CICLO 1</t>
        </is>
      </c>
      <c r="B31" s="99">
        <f>IF('SALA 4'!C10="","",'SALA 4'!C10)</f>
        <v/>
      </c>
      <c r="C31" s="127" t="inlineStr">
        <is>
          <t>Brrberry</t>
        </is>
      </c>
      <c r="D31" s="128">
        <f>IF('SALA 4'!B19=0,"",'SALA 4'!B16/'SALA 4'!B19)</f>
        <v/>
      </c>
      <c r="E31" s="75" t="n"/>
      <c r="F31" s="108">
        <f>IF(E31="","",E31/1000)</f>
        <v/>
      </c>
      <c r="G31" s="93" t="n"/>
    </row>
    <row r="32" ht="15" customHeight="1" s="68">
      <c r="A32" s="127" t="n"/>
      <c r="B32" s="99">
        <f>IF('SALA 4'!C10="","",'SALA 4'!C10)</f>
        <v/>
      </c>
      <c r="C32" s="127" t="inlineStr">
        <is>
          <t>Cherry Zoda</t>
        </is>
      </c>
      <c r="D32" s="128">
        <f>IF('SALA 4'!B19=0,"",'SALA 4'!B17/'SALA 4'!B19)</f>
        <v/>
      </c>
      <c r="E32" s="108">
        <f>IF($E$31="","",$E$31*D32)</f>
        <v/>
      </c>
      <c r="F32" s="108">
        <f>IF(E32="","",E32/1000)</f>
        <v/>
      </c>
      <c r="G32" s="93" t="n"/>
    </row>
    <row r="33" ht="15" customHeight="1" s="68">
      <c r="A33" s="127" t="n"/>
      <c r="B33" s="99">
        <f>IF('SALA 4'!C10="","",'SALA 4'!C10)</f>
        <v/>
      </c>
      <c r="C33" s="127" t="inlineStr">
        <is>
          <t>Spritz</t>
        </is>
      </c>
      <c r="D33" s="128">
        <f>IF('SALA 4'!B19=0,"",'SALA 4'!B18/'SALA 4'!B19)</f>
        <v/>
      </c>
      <c r="E33" s="108">
        <f>IF($E$31="","",$E$31*D33)</f>
        <v/>
      </c>
      <c r="F33" s="108">
        <f>IF(E33="","",E33/1000)</f>
        <v/>
      </c>
      <c r="G33" s="93" t="n"/>
    </row>
    <row r="34" ht="15" customHeight="1" s="68">
      <c r="A34" s="129" t="n"/>
      <c r="B34" s="129" t="n"/>
      <c r="C34" s="130" t="inlineStr">
        <is>
          <t>TOTAL CICLO</t>
        </is>
      </c>
      <c r="D34" s="129" t="n"/>
      <c r="E34" s="116">
        <f>IF(E31="","",E31)</f>
        <v/>
      </c>
      <c r="F34" s="116">
        <f>IF(E31="","",E31/1000)</f>
        <v/>
      </c>
      <c r="G34" s="129" t="n"/>
    </row>
    <row r="35" ht="15" customHeight="1" s="68">
      <c r="A35" s="126" t="inlineStr">
        <is>
          <t>CICLO 2</t>
        </is>
      </c>
      <c r="B35" s="99">
        <f>IF('SALA 4'!C32="","",'SALA 4'!C32)</f>
        <v/>
      </c>
      <c r="C35" s="127" t="inlineStr">
        <is>
          <t>(sin variedad)</t>
        </is>
      </c>
      <c r="D35" s="100" t="n"/>
      <c r="E35" s="75" t="n"/>
      <c r="F35" s="108">
        <f>IF(E35="","",E35/1000)</f>
        <v/>
      </c>
      <c r="G35" s="93" t="n"/>
    </row>
    <row r="36" ht="15" customHeight="1" s="68">
      <c r="A36" s="126" t="inlineStr">
        <is>
          <t>CICLO 3</t>
        </is>
      </c>
      <c r="B36" s="99">
        <f>IF('SALA 4'!C53="","",'SALA 4'!C53)</f>
        <v/>
      </c>
      <c r="C36" s="127" t="inlineStr">
        <is>
          <t>(sin variedad)</t>
        </is>
      </c>
      <c r="D36" s="100" t="n"/>
      <c r="E36" s="75" t="n"/>
      <c r="F36" s="108">
        <f>IF(E36="","",E36/1000)</f>
        <v/>
      </c>
      <c r="G36" s="93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</row>
    <row r="38" ht="21.75" customHeight="1" s="68">
      <c r="A38" s="124" t="inlineStr">
        <is>
          <t>SALA 5</t>
        </is>
      </c>
      <c r="B38" s="103" t="n"/>
      <c r="C38" s="103" t="n"/>
      <c r="D38" s="103" t="n"/>
      <c r="E38" s="103" t="n"/>
      <c r="F38" s="103" t="n"/>
      <c r="G38" s="125" t="n"/>
    </row>
    <row r="39" ht="25.5" customHeight="1" s="68">
      <c r="A39" s="72" t="inlineStr">
        <is>
          <t>Ciclo</t>
        </is>
      </c>
      <c r="B39" s="72" t="inlineStr">
        <is>
          <t>Fecha Corte</t>
        </is>
      </c>
      <c r="C39" s="72" t="inlineStr">
        <is>
          <t>Variedad</t>
        </is>
      </c>
      <c r="D39" s="72" t="inlineStr">
        <is>
          <t>% Plantas</t>
        </is>
      </c>
      <c r="E39" s="72" t="inlineStr">
        <is>
          <t>Peso Final Seco (g)</t>
        </is>
      </c>
      <c r="F39" s="72" t="inlineStr">
        <is>
          <t>Peso Final Seco (kg)</t>
        </is>
      </c>
      <c r="G39" s="72" t="inlineStr">
        <is>
          <t>Notas</t>
        </is>
      </c>
    </row>
    <row r="40" ht="15" customHeight="1" s="68">
      <c r="A40" s="126" t="inlineStr">
        <is>
          <t>CICLO 1</t>
        </is>
      </c>
      <c r="B40" s="99">
        <f>IF('SALA 5'!C10="","",'SALA 5'!C10)</f>
        <v/>
      </c>
      <c r="C40" s="127" t="inlineStr">
        <is>
          <t>Papaya Feno Hunting</t>
        </is>
      </c>
      <c r="D40" s="128">
        <f>IF('SALA 5'!B17=0,"",'SALA 5'!B16/'SALA 5'!B17)</f>
        <v/>
      </c>
      <c r="E40" s="75" t="n"/>
      <c r="F40" s="108">
        <f>IF(E40="","",E40/1000)</f>
        <v/>
      </c>
      <c r="G40" s="93" t="n"/>
    </row>
    <row r="41" ht="15" customHeight="1" s="68">
      <c r="A41" s="126" t="inlineStr">
        <is>
          <t>CICLO 2</t>
        </is>
      </c>
      <c r="B41" s="99">
        <f>IF('SALA 5'!C30="","",'SALA 5'!C30)</f>
        <v/>
      </c>
      <c r="C41" s="127" t="inlineStr">
        <is>
          <t>(sin variedad)</t>
        </is>
      </c>
      <c r="D41" s="100" t="n"/>
      <c r="E41" s="75" t="n"/>
      <c r="F41" s="108">
        <f>IF(E41="","",E41/1000)</f>
        <v/>
      </c>
      <c r="G41" s="93" t="n"/>
    </row>
    <row r="42" ht="15" customHeight="1" s="68">
      <c r="A42" s="126" t="inlineStr">
        <is>
          <t>CICLO 3</t>
        </is>
      </c>
      <c r="B42" s="99">
        <f>IF('SALA 5'!C50="","",'SALA 5'!C50)</f>
        <v/>
      </c>
      <c r="C42" s="127" t="inlineStr">
        <is>
          <t>(sin variedad)</t>
        </is>
      </c>
      <c r="D42" s="100" t="n"/>
      <c r="E42" s="75" t="n"/>
      <c r="F42" s="108">
        <f>IF(E42="","",E42/1000)</f>
        <v/>
      </c>
      <c r="G42" s="93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</row>
    <row r="44" ht="21.75" customHeight="1" s="68">
      <c r="A44" s="124" t="inlineStr">
        <is>
          <t>SALA 6</t>
        </is>
      </c>
      <c r="B44" s="103" t="n"/>
      <c r="C44" s="103" t="n"/>
      <c r="D44" s="103" t="n"/>
      <c r="E44" s="103" t="n"/>
      <c r="F44" s="103" t="n"/>
      <c r="G44" s="125" t="n"/>
    </row>
    <row r="45" ht="25.5" customHeight="1" s="68">
      <c r="A45" s="72" t="inlineStr">
        <is>
          <t>Ciclo</t>
        </is>
      </c>
      <c r="B45" s="72" t="inlineStr">
        <is>
          <t>Fecha Corte</t>
        </is>
      </c>
      <c r="C45" s="72" t="inlineStr">
        <is>
          <t>Variedad</t>
        </is>
      </c>
      <c r="D45" s="72" t="inlineStr">
        <is>
          <t>% Plantas</t>
        </is>
      </c>
      <c r="E45" s="72" t="inlineStr">
        <is>
          <t>Peso Final Seco (g)</t>
        </is>
      </c>
      <c r="F45" s="72" t="inlineStr">
        <is>
          <t>Peso Final Seco (kg)</t>
        </is>
      </c>
      <c r="G45" s="72" t="inlineStr">
        <is>
          <t>Notas</t>
        </is>
      </c>
    </row>
    <row r="46" ht="15" customHeight="1" s="68">
      <c r="A46" s="126" t="inlineStr">
        <is>
          <t>CICLO 1</t>
        </is>
      </c>
      <c r="B46" s="99">
        <f>IF('SALA 6'!C10="","",'SALA 6'!C10)</f>
        <v/>
      </c>
      <c r="C46" s="127" t="inlineStr">
        <is>
          <t>Papaya Feno Hunting</t>
        </is>
      </c>
      <c r="D46" s="128">
        <f>IF('SALA 6'!B21=0,"",'SALA 6'!B16/'SALA 6'!B21)</f>
        <v/>
      </c>
      <c r="E46" s="75" t="n"/>
      <c r="F46" s="108">
        <f>IF(E46="","",E46/1000)</f>
        <v/>
      </c>
      <c r="G46" s="93" t="n"/>
    </row>
    <row r="47" ht="15" customHeight="1" s="68">
      <c r="A47" s="127" t="n"/>
      <c r="B47" s="99">
        <f>IF('SALA 6'!C10="","",'SALA 6'!C10)</f>
        <v/>
      </c>
      <c r="C47" s="127" t="inlineStr">
        <is>
          <t>Cherry Zoda</t>
        </is>
      </c>
      <c r="D47" s="128">
        <f>IF('SALA 6'!B21=0,"",'SALA 6'!B17/'SALA 6'!B21)</f>
        <v/>
      </c>
      <c r="E47" s="108">
        <f>IF($E$46="","",$E$46*D47)</f>
        <v/>
      </c>
      <c r="F47" s="108">
        <f>IF(E47="","",E47/1000)</f>
        <v/>
      </c>
      <c r="G47" s="93" t="n"/>
    </row>
    <row r="48" ht="15" customHeight="1" s="68">
      <c r="A48" s="127" t="n"/>
      <c r="B48" s="99">
        <f>IF('SALA 6'!C10="","",'SALA 6'!C10)</f>
        <v/>
      </c>
      <c r="C48" s="127" t="inlineStr">
        <is>
          <t>Brrberry</t>
        </is>
      </c>
      <c r="D48" s="128">
        <f>IF('SALA 6'!B21=0,"",'SALA 6'!B18/'SALA 6'!B21)</f>
        <v/>
      </c>
      <c r="E48" s="108">
        <f>IF($E$46="","",$E$46*D48)</f>
        <v/>
      </c>
      <c r="F48" s="108">
        <f>IF(E48="","",E48/1000)</f>
        <v/>
      </c>
      <c r="G48" s="93" t="n"/>
    </row>
    <row r="49" ht="15" customHeight="1" s="68">
      <c r="A49" s="127" t="n"/>
      <c r="B49" s="99">
        <f>IF('SALA 6'!C10="","",'SALA 6'!C10)</f>
        <v/>
      </c>
      <c r="C49" s="127" t="inlineStr">
        <is>
          <t>Sour nana</t>
        </is>
      </c>
      <c r="D49" s="128">
        <f>IF('SALA 6'!B21=0,"",'SALA 6'!B19/'SALA 6'!B21)</f>
        <v/>
      </c>
      <c r="E49" s="108">
        <f>IF($E$46="","",$E$46*D49)</f>
        <v/>
      </c>
      <c r="F49" s="108">
        <f>IF(E49="","",E49/1000)</f>
        <v/>
      </c>
      <c r="G49" s="93" t="n"/>
    </row>
    <row r="50" ht="15" customHeight="1" s="68">
      <c r="A50" s="127" t="n"/>
      <c r="B50" s="99">
        <f>IF('SALA 6'!C10="","",'SALA 6'!C10)</f>
        <v/>
      </c>
      <c r="C50" s="127" t="inlineStr">
        <is>
          <t>Spritz</t>
        </is>
      </c>
      <c r="D50" s="128">
        <f>IF('SALA 6'!B21=0,"",'SALA 6'!B20/'SALA 6'!B21)</f>
        <v/>
      </c>
      <c r="E50" s="108">
        <f>IF($E$46="","",$E$46*D50)</f>
        <v/>
      </c>
      <c r="F50" s="108">
        <f>IF(E50="","",E50/1000)</f>
        <v/>
      </c>
      <c r="G50" s="93" t="n"/>
    </row>
    <row r="51" ht="15" customHeight="1" s="68">
      <c r="A51" s="129" t="n"/>
      <c r="B51" s="129" t="n"/>
      <c r="C51" s="130" t="inlineStr">
        <is>
          <t>TOTAL CICLO</t>
        </is>
      </c>
      <c r="D51" s="129" t="n"/>
      <c r="E51" s="116">
        <f>IF(E46="","",E46)</f>
        <v/>
      </c>
      <c r="F51" s="116">
        <f>IF(E46="","",E46/1000)</f>
        <v/>
      </c>
      <c r="G51" s="129" t="n"/>
    </row>
    <row r="52" ht="15" customHeight="1" s="68">
      <c r="A52" s="126" t="inlineStr">
        <is>
          <t>CICLO 2</t>
        </is>
      </c>
      <c r="B52" s="99">
        <f>IF('SALA 6'!C34="","",'SALA 6'!C34)</f>
        <v/>
      </c>
      <c r="C52" s="127" t="inlineStr">
        <is>
          <t>(sin variedad)</t>
        </is>
      </c>
      <c r="D52" s="100" t="n"/>
      <c r="E52" s="75" t="n"/>
      <c r="F52" s="108">
        <f>IF(E52="","",E52/1000)</f>
        <v/>
      </c>
      <c r="G52" s="93" t="n"/>
    </row>
    <row r="53" ht="15" customHeight="1" s="68">
      <c r="A53" s="126" t="inlineStr">
        <is>
          <t>CICLO 3</t>
        </is>
      </c>
      <c r="B53" s="99">
        <f>IF('SALA 6'!C55="","",'SALA 6'!C55)</f>
        <v/>
      </c>
      <c r="C53" s="127" t="inlineStr">
        <is>
          <t>(sin variedad)</t>
        </is>
      </c>
      <c r="D53" s="100" t="n"/>
      <c r="E53" s="75" t="n"/>
      <c r="F53" s="108">
        <f>IF(E53="","",E53/1000)</f>
        <v/>
      </c>
      <c r="G53" s="93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</row>
    <row r="55" ht="21.75" customHeight="1" s="68">
      <c r="A55" s="124" t="inlineStr">
        <is>
          <t>CARPA 1</t>
        </is>
      </c>
      <c r="B55" s="103" t="n"/>
      <c r="C55" s="103" t="n"/>
      <c r="D55" s="103" t="n"/>
      <c r="E55" s="103" t="n"/>
      <c r="F55" s="103" t="n"/>
      <c r="G55" s="125" t="n"/>
    </row>
    <row r="56" ht="25.5" customHeight="1" s="68">
      <c r="A56" s="72" t="inlineStr">
        <is>
          <t>Ciclo</t>
        </is>
      </c>
      <c r="B56" s="72" t="inlineStr">
        <is>
          <t>Fecha Corte</t>
        </is>
      </c>
      <c r="C56" s="72" t="inlineStr">
        <is>
          <t>Variedad</t>
        </is>
      </c>
      <c r="D56" s="72" t="inlineStr">
        <is>
          <t>% Plantas</t>
        </is>
      </c>
      <c r="E56" s="72" t="inlineStr">
        <is>
          <t>Peso Final Seco (g)</t>
        </is>
      </c>
      <c r="F56" s="72" t="inlineStr">
        <is>
          <t>Peso Final Seco (kg)</t>
        </is>
      </c>
      <c r="G56" s="72" t="inlineStr">
        <is>
          <t>Notas</t>
        </is>
      </c>
    </row>
    <row r="57" ht="15" customHeight="1" s="68">
      <c r="A57" s="126" t="inlineStr">
        <is>
          <t>CICLO 1</t>
        </is>
      </c>
      <c r="B57" s="99">
        <f>IF('CARPA 1'!C7="","",'CARPA 1'!C7)</f>
        <v/>
      </c>
      <c r="C57" s="127" t="inlineStr">
        <is>
          <t>Cherry Zoda</t>
        </is>
      </c>
      <c r="D57" s="128">
        <f>IF('CARPA 1'!B17=0,"",'CARPA 1'!B13/'CARPA 1'!B17)</f>
        <v/>
      </c>
      <c r="E57" s="75" t="n"/>
      <c r="F57" s="108">
        <f>IF(E57="","",E57/1000)</f>
        <v/>
      </c>
      <c r="G57" s="93" t="n"/>
    </row>
    <row r="58" ht="15" customHeight="1" s="68">
      <c r="A58" s="127" t="n"/>
      <c r="B58" s="99">
        <f>IF('CARPA 1'!C7="","",'CARPA 1'!C7)</f>
        <v/>
      </c>
      <c r="C58" s="127" t="inlineStr">
        <is>
          <t>Hot tub time</t>
        </is>
      </c>
      <c r="D58" s="128">
        <f>IF('CARPA 1'!B17=0,"",'CARPA 1'!B14/'CARPA 1'!B17)</f>
        <v/>
      </c>
      <c r="E58" s="108">
        <f>IF($E$57="","",$E$57*D58)</f>
        <v/>
      </c>
      <c r="F58" s="108">
        <f>IF(E58="","",E58/1000)</f>
        <v/>
      </c>
      <c r="G58" s="93" t="n"/>
    </row>
    <row r="59" ht="15" customHeight="1" s="68">
      <c r="A59" s="127" t="n"/>
      <c r="B59" s="99">
        <f>IF('CARPA 1'!C7="","",'CARPA 1'!C7)</f>
        <v/>
      </c>
      <c r="C59" s="127" t="inlineStr">
        <is>
          <t>Papaya Feno Hunting</t>
        </is>
      </c>
      <c r="D59" s="128">
        <f>IF('CARPA 1'!B17=0,"",'CARPA 1'!B15/'CARPA 1'!B17)</f>
        <v/>
      </c>
      <c r="E59" s="108">
        <f>IF($E$57="","",$E$57*D59)</f>
        <v/>
      </c>
      <c r="F59" s="108">
        <f>IF(E59="","",E59/1000)</f>
        <v/>
      </c>
      <c r="G59" s="93" t="n"/>
    </row>
    <row r="60" ht="15" customHeight="1" s="68">
      <c r="A60" s="129" t="n"/>
      <c r="B60" s="129" t="n"/>
      <c r="C60" s="130" t="inlineStr">
        <is>
          <t>TOTAL CICLO</t>
        </is>
      </c>
      <c r="D60" s="129" t="n"/>
      <c r="E60" s="116">
        <f>IF(E57="","",E57)</f>
        <v/>
      </c>
      <c r="F60" s="116">
        <f>IF(E57="","",E57/1000)</f>
        <v/>
      </c>
      <c r="G60" s="129" t="n"/>
    </row>
    <row r="61" ht="15" customHeight="1" s="68">
      <c r="A61" s="126" t="inlineStr">
        <is>
          <t>CICLO 2</t>
        </is>
      </c>
      <c r="B61" s="99">
        <f>IF('CARPA 1'!C27="","",'CARPA 1'!C27)</f>
        <v/>
      </c>
      <c r="C61" s="127" t="inlineStr">
        <is>
          <t>(sin variedad)</t>
        </is>
      </c>
      <c r="D61" s="100" t="n"/>
      <c r="E61" s="75" t="n"/>
      <c r="F61" s="108">
        <f>IF(E61="","",E61/1000)</f>
        <v/>
      </c>
      <c r="G61" s="93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</row>
    <row r="63" ht="21.75" customHeight="1" s="68">
      <c r="A63" s="124" t="inlineStr">
        <is>
          <t>CARPA 2</t>
        </is>
      </c>
      <c r="B63" s="103" t="n"/>
      <c r="C63" s="103" t="n"/>
      <c r="D63" s="103" t="n"/>
      <c r="E63" s="103" t="n"/>
      <c r="F63" s="103" t="n"/>
      <c r="G63" s="125" t="n"/>
    </row>
    <row r="64" ht="25.5" customHeight="1" s="68">
      <c r="A64" s="72" t="inlineStr">
        <is>
          <t>Ciclo</t>
        </is>
      </c>
      <c r="B64" s="72" t="inlineStr">
        <is>
          <t>Fecha Corte</t>
        </is>
      </c>
      <c r="C64" s="72" t="inlineStr">
        <is>
          <t>Variedad</t>
        </is>
      </c>
      <c r="D64" s="72" t="inlineStr">
        <is>
          <t>% Plantas</t>
        </is>
      </c>
      <c r="E64" s="72" t="inlineStr">
        <is>
          <t>Peso Final Seco (g)</t>
        </is>
      </c>
      <c r="F64" s="72" t="inlineStr">
        <is>
          <t>Peso Final Seco (kg)</t>
        </is>
      </c>
      <c r="G64" s="72" t="inlineStr">
        <is>
          <t>Notas</t>
        </is>
      </c>
    </row>
    <row r="65" ht="15" customHeight="1" s="68">
      <c r="A65" s="126" t="inlineStr">
        <is>
          <t>CICLO 1</t>
        </is>
      </c>
      <c r="B65" s="99">
        <f>IF('CARPA 2'!C7="","",'CARPA 2'!C7)</f>
        <v/>
      </c>
      <c r="C65" s="127" t="inlineStr">
        <is>
          <t>HTT Feno Hunt Mix</t>
        </is>
      </c>
      <c r="D65" s="128">
        <f>IF('CARPA 2'!B14=0,"",'CARPA 2'!B13/'CARPA 2'!B14)</f>
        <v/>
      </c>
      <c r="E65" s="75" t="n"/>
      <c r="F65" s="108">
        <f>IF(E65="","",E65/1000)</f>
        <v/>
      </c>
      <c r="G65" s="93" t="n"/>
    </row>
    <row r="66" ht="15" customHeight="1" s="68">
      <c r="A66" s="126" t="inlineStr">
        <is>
          <t>CICLO 2</t>
        </is>
      </c>
      <c r="B66" s="99">
        <f>IF('CARPA 2'!C24="","",'CARPA 2'!C24)</f>
        <v/>
      </c>
      <c r="C66" s="127" t="inlineStr">
        <is>
          <t>(sin variedad)</t>
        </is>
      </c>
      <c r="D66" s="100" t="n"/>
      <c r="E66" s="75" t="n"/>
      <c r="F66" s="108">
        <f>IF(E66="","",E66/1000)</f>
        <v/>
      </c>
      <c r="G66" s="93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</row>
    <row r="68" ht="21.75" customHeight="1" s="68">
      <c r="A68" s="124" t="inlineStr">
        <is>
          <t>CARPA 3</t>
        </is>
      </c>
      <c r="B68" s="103" t="n"/>
      <c r="C68" s="103" t="n"/>
      <c r="D68" s="103" t="n"/>
      <c r="E68" s="103" t="n"/>
      <c r="F68" s="103" t="n"/>
      <c r="G68" s="125" t="n"/>
    </row>
    <row r="69" ht="25.5" customHeight="1" s="68">
      <c r="A69" s="72" t="inlineStr">
        <is>
          <t>Ciclo</t>
        </is>
      </c>
      <c r="B69" s="72" t="inlineStr">
        <is>
          <t>Fecha Corte</t>
        </is>
      </c>
      <c r="C69" s="72" t="inlineStr">
        <is>
          <t>Variedad</t>
        </is>
      </c>
      <c r="D69" s="72" t="inlineStr">
        <is>
          <t>% Plantas</t>
        </is>
      </c>
      <c r="E69" s="72" t="inlineStr">
        <is>
          <t>Peso Final Seco (g)</t>
        </is>
      </c>
      <c r="F69" s="72" t="inlineStr">
        <is>
          <t>Peso Final Seco (kg)</t>
        </is>
      </c>
      <c r="G69" s="72" t="inlineStr">
        <is>
          <t>Notas</t>
        </is>
      </c>
    </row>
    <row r="70" ht="15" customHeight="1" s="68">
      <c r="A70" s="126" t="inlineStr">
        <is>
          <t>CICLO 1</t>
        </is>
      </c>
      <c r="B70" s="99">
        <f>IF('CARPA 3'!C7="","",'CARPA 3'!C7)</f>
        <v/>
      </c>
      <c r="C70" s="127" t="inlineStr">
        <is>
          <t>Guava</t>
        </is>
      </c>
      <c r="D70" s="128">
        <f>IF('CARPA 3'!B14=0,"",'CARPA 3'!B13/'CARPA 3'!B14)</f>
        <v/>
      </c>
      <c r="E70" s="75" t="n"/>
      <c r="F70" s="108">
        <f>IF(E70="","",E70/1000)</f>
        <v/>
      </c>
      <c r="G70" s="93" t="n"/>
    </row>
    <row r="71" ht="15" customHeight="1" s="68">
      <c r="A71" s="126" t="inlineStr">
        <is>
          <t>CICLO 2</t>
        </is>
      </c>
      <c r="B71" s="99">
        <f>IF('CARPA 3'!C24="","",'CARPA 3'!C24)</f>
        <v/>
      </c>
      <c r="C71" s="127" t="inlineStr">
        <is>
          <t>(sin variedad)</t>
        </is>
      </c>
      <c r="D71" s="100" t="n"/>
      <c r="E71" s="75" t="n"/>
      <c r="F71" s="108">
        <f>IF(E71="","",E71/1000)</f>
        <v/>
      </c>
      <c r="G71" s="93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</row>
    <row r="73" ht="21.75" customHeight="1" s="68">
      <c r="A73" s="124" t="inlineStr">
        <is>
          <t>CARPA 4</t>
        </is>
      </c>
      <c r="B73" s="103" t="n"/>
      <c r="C73" s="103" t="n"/>
      <c r="D73" s="103" t="n"/>
      <c r="E73" s="103" t="n"/>
      <c r="F73" s="103" t="n"/>
      <c r="G73" s="125" t="n"/>
    </row>
    <row r="74" ht="25.5" customHeight="1" s="68">
      <c r="A74" s="72" t="inlineStr">
        <is>
          <t>Ciclo</t>
        </is>
      </c>
      <c r="B74" s="72" t="inlineStr">
        <is>
          <t>Fecha Corte</t>
        </is>
      </c>
      <c r="C74" s="72" t="inlineStr">
        <is>
          <t>Variedad</t>
        </is>
      </c>
      <c r="D74" s="72" t="inlineStr">
        <is>
          <t>% Plantas</t>
        </is>
      </c>
      <c r="E74" s="72" t="inlineStr">
        <is>
          <t>Peso Final Seco (g)</t>
        </is>
      </c>
      <c r="F74" s="72" t="inlineStr">
        <is>
          <t>Peso Final Seco (kg)</t>
        </is>
      </c>
      <c r="G74" s="72" t="inlineStr">
        <is>
          <t>Notas</t>
        </is>
      </c>
    </row>
    <row r="75" ht="15" customHeight="1" s="68">
      <c r="A75" s="126" t="inlineStr">
        <is>
          <t>CICLO 1</t>
        </is>
      </c>
      <c r="B75" s="99">
        <f>IF('CARPA 4'!C7="","",'CARPA 4'!C7)</f>
        <v/>
      </c>
      <c r="C75" s="127" t="inlineStr">
        <is>
          <t>Coco</t>
        </is>
      </c>
      <c r="D75" s="128">
        <f>IF('CARPA 4'!B14=0,"",'CARPA 4'!B13/'CARPA 4'!B14)</f>
        <v/>
      </c>
      <c r="E75" s="75" t="n"/>
      <c r="F75" s="108">
        <f>IF(E75="","",E75/1000)</f>
        <v/>
      </c>
      <c r="G75" s="93" t="n"/>
    </row>
    <row r="76" ht="15" customHeight="1" s="68">
      <c r="A76" s="126" t="inlineStr">
        <is>
          <t>CICLO 2</t>
        </is>
      </c>
      <c r="B76" s="99">
        <f>IF('CARPA 4'!C24="","",'CARPA 4'!C24)</f>
        <v/>
      </c>
      <c r="C76" s="127" t="inlineStr">
        <is>
          <t>(sin variedad)</t>
        </is>
      </c>
      <c r="D76" s="100" t="n"/>
      <c r="E76" s="75" t="n"/>
      <c r="F76" s="108">
        <f>IF(E76="","",E76/1000)</f>
        <v/>
      </c>
      <c r="G76" s="93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</row>
  </sheetData>
  <mergeCells count="12">
    <mergeCell ref="A44:G44"/>
    <mergeCell ref="A19:G19"/>
    <mergeCell ref="A1:G1"/>
    <mergeCell ref="A11:G11"/>
    <mergeCell ref="A55:G55"/>
    <mergeCell ref="A4:G4"/>
    <mergeCell ref="A38:G38"/>
    <mergeCell ref="A2:G2"/>
    <mergeCell ref="A29:G29"/>
    <mergeCell ref="A73:G73"/>
    <mergeCell ref="A68:G68"/>
    <mergeCell ref="A63:G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74C69D"/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20" customWidth="1" style="67" min="1" max="1"/>
    <col width="4" customWidth="1" style="67" min="2" max="2"/>
    <col width="50" customWidth="1" style="67" min="3" max="3"/>
    <col width="20" customWidth="1" style="67" min="4" max="4"/>
  </cols>
  <sheetData>
    <row r="1" ht="27.75" customHeight="1" s="68">
      <c r="A1" s="96" t="inlineStr">
        <is>
          <t>LEYENDA Y GUÍA DE USO</t>
        </is>
      </c>
    </row>
    <row r="3" ht="14.25" customHeight="1" s="68">
      <c r="A3" s="131" t="inlineStr">
        <is>
          <t>Celda amarilla</t>
        </is>
      </c>
      <c r="B3" s="132" t="n"/>
      <c r="C3" s="133" t="inlineStr">
        <is>
          <t>Campo de entrada manual — escribe aquí tus datos</t>
        </is>
      </c>
    </row>
    <row r="4" ht="14.25" customHeight="1" s="68">
      <c r="A4" s="134" t="inlineStr">
        <is>
          <t>Texto azul (días)</t>
        </is>
      </c>
      <c r="B4" s="135" t="n"/>
      <c r="C4" s="133" t="inlineStr">
        <is>
          <t>Duración de etapa — puedes modificar según tu ciclo</t>
        </is>
      </c>
    </row>
    <row r="5" ht="14.25" customHeight="1" s="68">
      <c r="A5" s="136" t="inlineStr">
        <is>
          <t>Fondo verde claro</t>
        </is>
      </c>
      <c r="B5" s="137" t="n"/>
      <c r="C5" s="133" t="inlineStr">
        <is>
          <t>Encabezado de sección</t>
        </is>
      </c>
    </row>
    <row r="6" ht="14.25" customHeight="1" s="68">
      <c r="A6" s="136" t="inlineStr">
        <is>
          <t>Texto verde</t>
        </is>
      </c>
      <c r="B6" s="137" t="n"/>
      <c r="C6" s="133" t="inlineStr">
        <is>
          <t>Nombre de sala/carpa en resumen</t>
        </is>
      </c>
    </row>
    <row r="8" ht="15" customHeight="1" s="68">
      <c r="A8" s="85" t="inlineStr">
        <is>
          <t>FLUJO ESTÁNDAR — SALAS</t>
        </is>
      </c>
    </row>
    <row r="9" ht="14.25" customHeight="1" s="68">
      <c r="A9" s="138" t="inlineStr">
        <is>
          <t>Esquejes (21d)</t>
        </is>
      </c>
      <c r="B9" s="139" t="inlineStr">
        <is>
          <t>→ Trasplante Vaso (14d)</t>
        </is>
      </c>
      <c r="C9" s="139" t="inlineStr">
        <is>
          <t>→ Trasplante Maceta (14d)</t>
        </is>
      </c>
      <c r="D9" s="139" t="inlineStr">
        <is>
          <t>→ Ingreso Sala (16d)</t>
        </is>
      </c>
      <c r="E9" s="139" t="inlineStr">
        <is>
          <t>→ Floración (63d)</t>
        </is>
      </c>
      <c r="F9" s="139" t="inlineStr">
        <is>
          <t>→ Corte (1d)</t>
        </is>
      </c>
      <c r="G9" s="139" t="inlineStr">
        <is>
          <t>→ Secado (7d)</t>
        </is>
      </c>
      <c r="H9" s="139" t="inlineStr">
        <is>
          <t>→ Procesado (3d)</t>
        </is>
      </c>
      <c r="I9" s="139" t="inlineStr">
        <is>
          <t>→ Disponible</t>
        </is>
      </c>
    </row>
    <row r="11" ht="15" customHeight="1" s="68">
      <c r="A11" s="85" t="inlineStr">
        <is>
          <t>FLUJO ESTÁNDAR — CARPAS</t>
        </is>
      </c>
    </row>
    <row r="12" ht="14.25" customHeight="1" s="68">
      <c r="A12" s="138" t="inlineStr">
        <is>
          <t>Ingreso a Carpa (20d)</t>
        </is>
      </c>
      <c r="B12" s="139" t="inlineStr">
        <is>
          <t>→ Floración (63d)</t>
        </is>
      </c>
      <c r="C12" s="139" t="inlineStr">
        <is>
          <t>→ Corte (1d)</t>
        </is>
      </c>
      <c r="D12" s="139" t="inlineStr">
        <is>
          <t>→ Secado (7d)</t>
        </is>
      </c>
      <c r="E12" s="139" t="inlineStr">
        <is>
          <t>→ Procesado (3d)</t>
        </is>
      </c>
      <c r="F12" s="139" t="inlineStr">
        <is>
          <t>→ Disponible</t>
        </is>
      </c>
    </row>
  </sheetData>
  <mergeCells count="3">
    <mergeCell ref="A1:D1"/>
    <mergeCell ref="A8:D8"/>
    <mergeCell ref="A11:D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2026-06-10T17:59:45Z</dcterms:created>
  <dcterms:modified xmlns:dcterms="http://purl.org/dc/terms/" xmlns:xsi="http://www.w3.org/2001/XMLSchema-instance" xsi:type="dcterms:W3CDTF">2026-06-12T15:26:29Z</dcterms:modified>
  <cp:lastModifiedBy>Darío Miquel Rutllant Gazmuri (dario.rutllant)</cp:lastModifiedBy>
  <cp:revision>0</cp:revision>
</cp:coreProperties>
</file>