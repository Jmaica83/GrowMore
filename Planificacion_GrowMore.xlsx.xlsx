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rio\Dropbox\GrowMore\"/>
    </mc:Choice>
  </mc:AlternateContent>
  <xr:revisionPtr revIDLastSave="0" documentId="13_ncr:1_{873EDCDE-9BA4-4508-93F9-D3CB2D7380DB}" xr6:coauthVersionLast="47" xr6:coauthVersionMax="47" xr10:uidLastSave="{00000000-0000-0000-0000-000000000000}"/>
  <bookViews>
    <workbookView xWindow="3420" yWindow="3420" windowWidth="23040" windowHeight="12204" tabRatio="645" firstSheet="1" activeTab="3" xr2:uid="{00000000-000D-0000-FFFF-FFFF00000000}"/>
  </bookViews>
  <sheets>
    <sheet name="RESUMEN" sheetId="1" r:id="rId1"/>
    <sheet name="RAGNAR" sheetId="2" r:id="rId2"/>
    <sheet name="PROYECCIÓN" sheetId="3" r:id="rId3"/>
    <sheet name="SALA 1" sheetId="4" r:id="rId4"/>
    <sheet name="SALA 2" sheetId="5" r:id="rId5"/>
    <sheet name="SALA 3" sheetId="6" r:id="rId6"/>
    <sheet name="SALA 4" sheetId="7" r:id="rId7"/>
    <sheet name="SALA 5" sheetId="8" r:id="rId8"/>
    <sheet name="SALA 6" sheetId="9" r:id="rId9"/>
    <sheet name="CARPA 1" sheetId="10" r:id="rId10"/>
    <sheet name="CARPA 2" sheetId="11" r:id="rId11"/>
    <sheet name="CARPA 3" sheetId="12" r:id="rId12"/>
    <sheet name="CARPA 4" sheetId="13" r:id="rId13"/>
    <sheet name="PESOS" sheetId="14" r:id="rId14"/>
    <sheet name="LEYENDA" sheetId="15" r:id="rId1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6" i="14" l="1"/>
  <c r="F75" i="14"/>
  <c r="F71" i="14"/>
  <c r="F70" i="14"/>
  <c r="F66" i="14"/>
  <c r="F65" i="14"/>
  <c r="F61" i="14"/>
  <c r="F60" i="14"/>
  <c r="E60" i="14"/>
  <c r="E59" i="14"/>
  <c r="F59" i="14" s="1"/>
  <c r="F58" i="14"/>
  <c r="E58" i="14"/>
  <c r="F57" i="14"/>
  <c r="D57" i="14"/>
  <c r="F53" i="14"/>
  <c r="F52" i="14"/>
  <c r="F51" i="14"/>
  <c r="E51" i="14"/>
  <c r="F50" i="14"/>
  <c r="E50" i="14"/>
  <c r="E49" i="14"/>
  <c r="F49" i="14" s="1"/>
  <c r="F48" i="14"/>
  <c r="E48" i="14"/>
  <c r="E47" i="14"/>
  <c r="F47" i="14" s="1"/>
  <c r="D47" i="14"/>
  <c r="F46" i="14"/>
  <c r="F42" i="14"/>
  <c r="F41" i="14"/>
  <c r="F40" i="14"/>
  <c r="D40" i="14"/>
  <c r="F36" i="14"/>
  <c r="F35" i="14"/>
  <c r="F34" i="14"/>
  <c r="E34" i="14"/>
  <c r="F33" i="14"/>
  <c r="E33" i="14"/>
  <c r="E32" i="14"/>
  <c r="F32" i="14" s="1"/>
  <c r="F31" i="14"/>
  <c r="F27" i="14"/>
  <c r="F26" i="14"/>
  <c r="F25" i="14"/>
  <c r="E25" i="14"/>
  <c r="F24" i="14"/>
  <c r="E24" i="14"/>
  <c r="F23" i="14"/>
  <c r="E23" i="14"/>
  <c r="D23" i="14"/>
  <c r="E22" i="14"/>
  <c r="F22" i="14" s="1"/>
  <c r="D22" i="14"/>
  <c r="F21" i="14"/>
  <c r="D21" i="14"/>
  <c r="F17" i="14"/>
  <c r="F16" i="14"/>
  <c r="F15" i="14"/>
  <c r="E15" i="14"/>
  <c r="E14" i="14"/>
  <c r="F14" i="14" s="1"/>
  <c r="F13" i="14"/>
  <c r="F9" i="14"/>
  <c r="F8" i="14"/>
  <c r="E8" i="14"/>
  <c r="F7" i="14"/>
  <c r="E7" i="14"/>
  <c r="F6" i="14"/>
  <c r="B82" i="13"/>
  <c r="B65" i="13"/>
  <c r="B48" i="13"/>
  <c r="B31" i="13"/>
  <c r="B14" i="13"/>
  <c r="D75" i="14" s="1"/>
  <c r="C7" i="13"/>
  <c r="B75" i="14" s="1"/>
  <c r="C6" i="13"/>
  <c r="B82" i="12"/>
  <c r="B65" i="12"/>
  <c r="B48" i="12"/>
  <c r="B31" i="12"/>
  <c r="B14" i="12"/>
  <c r="D70" i="14" s="1"/>
  <c r="C6" i="12"/>
  <c r="C7" i="12" s="1"/>
  <c r="B82" i="11"/>
  <c r="B65" i="11"/>
  <c r="B48" i="11"/>
  <c r="B31" i="11"/>
  <c r="B14" i="11"/>
  <c r="D65" i="14" s="1"/>
  <c r="C6" i="11"/>
  <c r="C7" i="11" s="1"/>
  <c r="B89" i="10"/>
  <c r="B71" i="10"/>
  <c r="B53" i="10"/>
  <c r="B35" i="10"/>
  <c r="B17" i="10"/>
  <c r="D59" i="14" s="1"/>
  <c r="C6" i="10"/>
  <c r="C7" i="10" s="1"/>
  <c r="B97" i="8"/>
  <c r="B77" i="8"/>
  <c r="B57" i="8"/>
  <c r="B37" i="8"/>
  <c r="B17" i="8"/>
  <c r="C7" i="8"/>
  <c r="C8" i="8" s="1"/>
  <c r="C9" i="8" s="1"/>
  <c r="C10" i="8" s="1"/>
  <c r="C6" i="8"/>
  <c r="B103" i="7"/>
  <c r="B82" i="7"/>
  <c r="B61" i="7"/>
  <c r="B40" i="7"/>
  <c r="B19" i="7"/>
  <c r="D33" i="14" s="1"/>
  <c r="C7" i="7"/>
  <c r="C8" i="7" s="1"/>
  <c r="C9" i="7" s="1"/>
  <c r="C10" i="7" s="1"/>
  <c r="C6" i="7"/>
  <c r="B104" i="6"/>
  <c r="B83" i="6"/>
  <c r="B62" i="6"/>
  <c r="B41" i="6"/>
  <c r="B20" i="6"/>
  <c r="D24" i="14" s="1"/>
  <c r="C6" i="6"/>
  <c r="C7" i="6" s="1"/>
  <c r="C8" i="6" s="1"/>
  <c r="C9" i="6" s="1"/>
  <c r="C10" i="6" s="1"/>
  <c r="B102" i="5"/>
  <c r="B81" i="5"/>
  <c r="B60" i="5"/>
  <c r="B39" i="5"/>
  <c r="B18" i="5"/>
  <c r="D14" i="14" s="1"/>
  <c r="C6" i="5"/>
  <c r="C7" i="5" s="1"/>
  <c r="C8" i="5" s="1"/>
  <c r="C9" i="5" s="1"/>
  <c r="C10" i="5" s="1"/>
  <c r="B102" i="4"/>
  <c r="B81" i="4"/>
  <c r="B60" i="4"/>
  <c r="B39" i="4"/>
  <c r="B18" i="4"/>
  <c r="D7" i="14" s="1"/>
  <c r="C5" i="4"/>
  <c r="C6" i="4" s="1"/>
  <c r="C7" i="4" s="1"/>
  <c r="C8" i="4" s="1"/>
  <c r="C9" i="4" s="1"/>
  <c r="B105" i="9"/>
  <c r="B84" i="9"/>
  <c r="B63" i="9"/>
  <c r="B42" i="9"/>
  <c r="B21" i="9"/>
  <c r="D46" i="14" s="1"/>
  <c r="C6" i="9"/>
  <c r="C7" i="9" s="1"/>
  <c r="C8" i="9" s="1"/>
  <c r="C9" i="9" s="1"/>
  <c r="C10" i="9" s="1"/>
  <c r="B40" i="14" l="1"/>
  <c r="C11" i="8"/>
  <c r="C12" i="8" s="1"/>
  <c r="C10" i="4"/>
  <c r="C11" i="4" s="1"/>
  <c r="B6" i="14"/>
  <c r="B7" i="14"/>
  <c r="B70" i="14"/>
  <c r="C8" i="12"/>
  <c r="C9" i="12" s="1"/>
  <c r="B22" i="14"/>
  <c r="B24" i="14"/>
  <c r="B21" i="14"/>
  <c r="B23" i="14"/>
  <c r="C11" i="6"/>
  <c r="C12" i="6" s="1"/>
  <c r="B33" i="14"/>
  <c r="C11" i="7"/>
  <c r="C12" i="7" s="1"/>
  <c r="B32" i="14"/>
  <c r="B31" i="14"/>
  <c r="B59" i="14"/>
  <c r="B58" i="14"/>
  <c r="C8" i="10"/>
  <c r="C9" i="10" s="1"/>
  <c r="B57" i="14"/>
  <c r="C11" i="9"/>
  <c r="C12" i="9" s="1"/>
  <c r="B47" i="14"/>
  <c r="B46" i="14"/>
  <c r="B50" i="14"/>
  <c r="B49" i="14"/>
  <c r="B48" i="14"/>
  <c r="B13" i="14"/>
  <c r="C11" i="5"/>
  <c r="C12" i="5" s="1"/>
  <c r="B14" i="14"/>
  <c r="C8" i="11"/>
  <c r="C9" i="11" s="1"/>
  <c r="B65" i="14"/>
  <c r="D13" i="14"/>
  <c r="D48" i="14"/>
  <c r="D31" i="14"/>
  <c r="D6" i="14"/>
  <c r="D32" i="14"/>
  <c r="D49" i="14"/>
  <c r="D58" i="14"/>
  <c r="C8" i="13"/>
  <c r="C9" i="13" s="1"/>
  <c r="D50" i="14"/>
  <c r="C13" i="5" l="1"/>
  <c r="C29" i="5"/>
  <c r="C30" i="5" s="1"/>
  <c r="C31" i="5" s="1"/>
  <c r="C10" i="12"/>
  <c r="C22" i="12"/>
  <c r="C23" i="12" s="1"/>
  <c r="C24" i="12" s="1"/>
  <c r="C22" i="13"/>
  <c r="C23" i="13" s="1"/>
  <c r="C24" i="13" s="1"/>
  <c r="C10" i="13"/>
  <c r="C13" i="7"/>
  <c r="C30" i="7"/>
  <c r="C31" i="7" s="1"/>
  <c r="C32" i="7" s="1"/>
  <c r="C22" i="11"/>
  <c r="C23" i="11" s="1"/>
  <c r="C24" i="11" s="1"/>
  <c r="C10" i="11"/>
  <c r="C12" i="4"/>
  <c r="C29" i="4"/>
  <c r="C30" i="4" s="1"/>
  <c r="C31" i="4" s="1"/>
  <c r="C32" i="4" s="1"/>
  <c r="C33" i="4" s="1"/>
  <c r="C31" i="6"/>
  <c r="C32" i="6" s="1"/>
  <c r="C33" i="6" s="1"/>
  <c r="C13" i="6"/>
  <c r="C32" i="9"/>
  <c r="C33" i="9" s="1"/>
  <c r="C34" i="9" s="1"/>
  <c r="C13" i="9"/>
  <c r="C28" i="8"/>
  <c r="C29" i="8" s="1"/>
  <c r="C30" i="8" s="1"/>
  <c r="C13" i="8"/>
  <c r="C25" i="10"/>
  <c r="C26" i="10" s="1"/>
  <c r="C27" i="10" s="1"/>
  <c r="C10" i="10"/>
  <c r="B26" i="14" l="1"/>
  <c r="C34" i="6"/>
  <c r="C35" i="6" s="1"/>
  <c r="B76" i="14"/>
  <c r="C25" i="13"/>
  <c r="C26" i="13" s="1"/>
  <c r="C50" i="4"/>
  <c r="C51" i="4" s="1"/>
  <c r="C52" i="4" s="1"/>
  <c r="C34" i="4"/>
  <c r="B71" i="14"/>
  <c r="C25" i="12"/>
  <c r="C26" i="12" s="1"/>
  <c r="B52" i="14"/>
  <c r="C35" i="9"/>
  <c r="C36" i="9" s="1"/>
  <c r="C25" i="11"/>
  <c r="C26" i="11" s="1"/>
  <c r="B66" i="14"/>
  <c r="B16" i="14"/>
  <c r="C32" i="5"/>
  <c r="C33" i="5" s="1"/>
  <c r="B35" i="14"/>
  <c r="C33" i="7"/>
  <c r="C34" i="7" s="1"/>
  <c r="B61" i="14"/>
  <c r="C28" i="10"/>
  <c r="C29" i="10" s="1"/>
  <c r="B41" i="14"/>
  <c r="C31" i="8"/>
  <c r="C32" i="8" s="1"/>
  <c r="C27" i="12" l="1"/>
  <c r="C39" i="12"/>
  <c r="C40" i="12" s="1"/>
  <c r="C41" i="12" s="1"/>
  <c r="C42" i="12" s="1"/>
  <c r="C43" i="12" s="1"/>
  <c r="B9" i="14"/>
  <c r="C53" i="4"/>
  <c r="C54" i="4" s="1"/>
  <c r="C39" i="11"/>
  <c r="C40" i="11" s="1"/>
  <c r="C41" i="11" s="1"/>
  <c r="C42" i="11" s="1"/>
  <c r="C43" i="11" s="1"/>
  <c r="C27" i="11"/>
  <c r="C39" i="13"/>
  <c r="C40" i="13" s="1"/>
  <c r="C41" i="13" s="1"/>
  <c r="C42" i="13" s="1"/>
  <c r="C43" i="13" s="1"/>
  <c r="C27" i="13"/>
  <c r="C35" i="7"/>
  <c r="C51" i="7"/>
  <c r="C52" i="7" s="1"/>
  <c r="C53" i="7" s="1"/>
  <c r="C53" i="9"/>
  <c r="C54" i="9" s="1"/>
  <c r="C55" i="9" s="1"/>
  <c r="C37" i="9"/>
  <c r="C43" i="10"/>
  <c r="C44" i="10" s="1"/>
  <c r="C45" i="10" s="1"/>
  <c r="C46" i="10" s="1"/>
  <c r="C47" i="10" s="1"/>
  <c r="C30" i="10"/>
  <c r="C52" i="6"/>
  <c r="C53" i="6" s="1"/>
  <c r="C54" i="6" s="1"/>
  <c r="C36" i="6"/>
  <c r="C50" i="5"/>
  <c r="C51" i="5" s="1"/>
  <c r="C52" i="5" s="1"/>
  <c r="C34" i="5"/>
  <c r="C48" i="8"/>
  <c r="C49" i="8" s="1"/>
  <c r="C50" i="8" s="1"/>
  <c r="C33" i="8"/>
  <c r="C56" i="9" l="1"/>
  <c r="C57" i="9" s="1"/>
  <c r="B53" i="14"/>
  <c r="C56" i="11"/>
  <c r="C57" i="11" s="1"/>
  <c r="C58" i="11" s="1"/>
  <c r="C59" i="11" s="1"/>
  <c r="C60" i="11" s="1"/>
  <c r="C44" i="11"/>
  <c r="C48" i="10"/>
  <c r="C61" i="10"/>
  <c r="C62" i="10" s="1"/>
  <c r="C63" i="10" s="1"/>
  <c r="C64" i="10" s="1"/>
  <c r="C65" i="10" s="1"/>
  <c r="C71" i="4"/>
  <c r="C72" i="4" s="1"/>
  <c r="C73" i="4" s="1"/>
  <c r="C74" i="4" s="1"/>
  <c r="C75" i="4" s="1"/>
  <c r="C55" i="4"/>
  <c r="B27" i="14"/>
  <c r="C55" i="6"/>
  <c r="C56" i="6" s="1"/>
  <c r="C56" i="13"/>
  <c r="C57" i="13" s="1"/>
  <c r="C58" i="13" s="1"/>
  <c r="C59" i="13" s="1"/>
  <c r="C60" i="13" s="1"/>
  <c r="C44" i="13"/>
  <c r="C56" i="12"/>
  <c r="C57" i="12" s="1"/>
  <c r="C58" i="12" s="1"/>
  <c r="C59" i="12" s="1"/>
  <c r="C60" i="12" s="1"/>
  <c r="C44" i="12"/>
  <c r="C54" i="7"/>
  <c r="C55" i="7" s="1"/>
  <c r="B36" i="14"/>
  <c r="C51" i="8"/>
  <c r="C52" i="8" s="1"/>
  <c r="B42" i="14"/>
  <c r="B17" i="14"/>
  <c r="C53" i="5"/>
  <c r="C54" i="5" s="1"/>
  <c r="C73" i="12" l="1"/>
  <c r="C74" i="12" s="1"/>
  <c r="C75" i="12" s="1"/>
  <c r="C76" i="12" s="1"/>
  <c r="C77" i="12" s="1"/>
  <c r="C78" i="12" s="1"/>
  <c r="C61" i="12"/>
  <c r="C72" i="7"/>
  <c r="C73" i="7" s="1"/>
  <c r="C74" i="7" s="1"/>
  <c r="C75" i="7" s="1"/>
  <c r="C76" i="7" s="1"/>
  <c r="C56" i="7"/>
  <c r="C73" i="13"/>
  <c r="C74" i="13" s="1"/>
  <c r="C75" i="13" s="1"/>
  <c r="C76" i="13" s="1"/>
  <c r="C77" i="13" s="1"/>
  <c r="C78" i="13" s="1"/>
  <c r="C61" i="13"/>
  <c r="C73" i="6"/>
  <c r="C74" i="6" s="1"/>
  <c r="C75" i="6" s="1"/>
  <c r="C76" i="6" s="1"/>
  <c r="C77" i="6" s="1"/>
  <c r="C57" i="6"/>
  <c r="C73" i="11"/>
  <c r="C74" i="11" s="1"/>
  <c r="C75" i="11" s="1"/>
  <c r="C76" i="11" s="1"/>
  <c r="C77" i="11" s="1"/>
  <c r="C78" i="11" s="1"/>
  <c r="C61" i="11"/>
  <c r="C79" i="10"/>
  <c r="C80" i="10" s="1"/>
  <c r="C81" i="10" s="1"/>
  <c r="C82" i="10" s="1"/>
  <c r="C83" i="10" s="1"/>
  <c r="C84" i="10" s="1"/>
  <c r="C66" i="10"/>
  <c r="C76" i="4"/>
  <c r="C92" i="4"/>
  <c r="C93" i="4" s="1"/>
  <c r="C94" i="4" s="1"/>
  <c r="C95" i="4" s="1"/>
  <c r="C96" i="4" s="1"/>
  <c r="C97" i="4" s="1"/>
  <c r="C71" i="5"/>
  <c r="C72" i="5" s="1"/>
  <c r="C73" i="5" s="1"/>
  <c r="C74" i="5" s="1"/>
  <c r="C75" i="5" s="1"/>
  <c r="C55" i="5"/>
  <c r="C68" i="8"/>
  <c r="C69" i="8" s="1"/>
  <c r="C70" i="8" s="1"/>
  <c r="C71" i="8" s="1"/>
  <c r="C72" i="8" s="1"/>
  <c r="C53" i="8"/>
  <c r="C58" i="9"/>
  <c r="C74" i="9"/>
  <c r="C75" i="9" s="1"/>
  <c r="C76" i="9" s="1"/>
  <c r="C77" i="9" s="1"/>
  <c r="C78" i="9" s="1"/>
  <c r="C76" i="5" l="1"/>
  <c r="C92" i="5"/>
  <c r="C93" i="5" s="1"/>
  <c r="C94" i="5" s="1"/>
  <c r="C95" i="5" s="1"/>
  <c r="C96" i="5" s="1"/>
  <c r="C97" i="5" s="1"/>
  <c r="C78" i="6"/>
  <c r="C94" i="6"/>
  <c r="C95" i="6" s="1"/>
  <c r="C96" i="6" s="1"/>
  <c r="C97" i="6" s="1"/>
  <c r="C98" i="6" s="1"/>
  <c r="C99" i="6" s="1"/>
  <c r="C77" i="7"/>
  <c r="C93" i="7"/>
  <c r="C94" i="7" s="1"/>
  <c r="C95" i="7" s="1"/>
  <c r="C96" i="7" s="1"/>
  <c r="C97" i="7" s="1"/>
  <c r="C98" i="7" s="1"/>
  <c r="C79" i="9"/>
  <c r="C95" i="9"/>
  <c r="C96" i="9" s="1"/>
  <c r="C97" i="9" s="1"/>
  <c r="C98" i="9" s="1"/>
  <c r="C99" i="9" s="1"/>
  <c r="C100" i="9" s="1"/>
  <c r="C88" i="8"/>
  <c r="C89" i="8" s="1"/>
  <c r="C90" i="8" s="1"/>
  <c r="C91" i="8" s="1"/>
  <c r="C92" i="8" s="1"/>
  <c r="C93" i="8" s="1"/>
  <c r="C73" i="8"/>
</calcChain>
</file>

<file path=xl/sharedStrings.xml><?xml version="1.0" encoding="utf-8"?>
<sst xmlns="http://schemas.openxmlformats.org/spreadsheetml/2006/main" count="1182" uniqueCount="156">
  <si>
    <t>🌿  SALA 6</t>
  </si>
  <si>
    <t>HISTORIAL pH / EC / TEMP / HUM</t>
  </si>
  <si>
    <t>Fecha</t>
  </si>
  <si>
    <t>pH</t>
  </si>
  <si>
    <t>EC (ppm)</t>
  </si>
  <si>
    <t>Temp °C</t>
  </si>
  <si>
    <t>Hum %</t>
  </si>
  <si>
    <t>PPFD
(µmol/m²/s)</t>
  </si>
  <si>
    <t>Notas</t>
  </si>
  <si>
    <t>CICLO 1</t>
  </si>
  <si>
    <t>Etapa</t>
  </si>
  <si>
    <t>Días</t>
  </si>
  <si>
    <t>Fecha Inicio</t>
  </si>
  <si>
    <t>Esquejes</t>
  </si>
  <si>
    <t>Trasplante a Vaso</t>
  </si>
  <si>
    <t>Trasplante Maceta</t>
  </si>
  <si>
    <t>Ingreso a Sala</t>
  </si>
  <si>
    <t>Floración</t>
  </si>
  <si>
    <t>Corte</t>
  </si>
  <si>
    <t>Secado</t>
  </si>
  <si>
    <t>Procesado</t>
  </si>
  <si>
    <t>Disponible</t>
  </si>
  <si>
    <t>VARIEDADES</t>
  </si>
  <si>
    <t>Cant.</t>
  </si>
  <si>
    <t>Papaya Feno Hunting</t>
  </si>
  <si>
    <t>Cherry Zoda</t>
  </si>
  <si>
    <t>Brrberry</t>
  </si>
  <si>
    <t>Sour nana</t>
  </si>
  <si>
    <t>Spritz</t>
  </si>
  <si>
    <t>TOTAL</t>
  </si>
  <si>
    <t>Observaciones:</t>
  </si>
  <si>
    <t>CICLO 2</t>
  </si>
  <si>
    <t>CICLO 3</t>
  </si>
  <si>
    <t>CICLO 4</t>
  </si>
  <si>
    <t>CICLO 5</t>
  </si>
  <si>
    <t>🌿  GrowMore — Panel de Control</t>
  </si>
  <si>
    <t>Actualizado manualmente. Fecha hoy: =TEXT(TODAY(),"DD/MM/YYYY")</t>
  </si>
  <si>
    <t>ESTADO ACTUAL — SALAS DE CULTIVO</t>
  </si>
  <si>
    <t>Sala/Carpa</t>
  </si>
  <si>
    <t>Variedad(es)</t>
  </si>
  <si>
    <t>Total Plantas</t>
  </si>
  <si>
    <t>Etapa Actual</t>
  </si>
  <si>
    <t>Días en Etapa</t>
  </si>
  <si>
    <t>Fecha Corte Est.</t>
  </si>
  <si>
    <t>EC</t>
  </si>
  <si>
    <t>Temp (°C)</t>
  </si>
  <si>
    <t>Hum (%)</t>
  </si>
  <si>
    <t>Notas Rápidas</t>
  </si>
  <si>
    <t>Sala 1</t>
  </si>
  <si>
    <t>Sala 2</t>
  </si>
  <si>
    <t>Sala 3</t>
  </si>
  <si>
    <t>Sala 4</t>
  </si>
  <si>
    <t>Sala 5</t>
  </si>
  <si>
    <t>Sala 6</t>
  </si>
  <si>
    <t>Carpa 1</t>
  </si>
  <si>
    <t>Carpa 2</t>
  </si>
  <si>
    <t>Carpa 3</t>
  </si>
  <si>
    <t>Carpa 4</t>
  </si>
  <si>
    <t>💛 Celdas amarillas = ingreso manual    |    Etapa Actual: escribe la etapa del ciclo en curso    |    Fecha Corte Est.: copiar de la hoja de sala</t>
  </si>
  <si>
    <t>HISTORIAL pH / EC / TEMP / HUM — Sala 1</t>
  </si>
  <si>
    <t>🌱  RAGNAR — Sala de Vegetación</t>
  </si>
  <si>
    <t>ESQUEJES</t>
  </si>
  <si>
    <t>MACETAS EN VEGETACIÓN</t>
  </si>
  <si>
    <t>Variedad</t>
  </si>
  <si>
    <t>Cantidad</t>
  </si>
  <si>
    <t>Sala Destino</t>
  </si>
  <si>
    <t>Fecha Ingreso</t>
  </si>
  <si>
    <t>Frozen Biscotti #2</t>
  </si>
  <si>
    <t>MR</t>
  </si>
  <si>
    <t>Blue Zushi</t>
  </si>
  <si>
    <t>Guava</t>
  </si>
  <si>
    <t>HTT #4</t>
  </si>
  <si>
    <t>Papaya #5</t>
  </si>
  <si>
    <t>Pink Lemon #2</t>
  </si>
  <si>
    <t>PLANTAS MADRES</t>
  </si>
  <si>
    <t>Última toma
de clones</t>
  </si>
  <si>
    <t>Observaciones</t>
  </si>
  <si>
    <t>CC</t>
  </si>
  <si>
    <t>Pink Lemon</t>
  </si>
  <si>
    <t>Papaya 5</t>
  </si>
  <si>
    <t>🗓️  PROYECCIÓN DE DISPONIBILIDAD POR SALA/CARPA</t>
  </si>
  <si>
    <t>ℹ️  Generado automáticamente: muestra cuándo y qué variedades estarán Disponibles (post-secado/procesado) en cada Sala o Carpa, según las fechas y variedades cargadas. Vuelve a generar esta hoja cuando actualices los ciclos. Ragnar no se incluye porque no produce cosechas.</t>
  </si>
  <si>
    <t>Sala / Carpa</t>
  </si>
  <si>
    <t>Fecha Disponible</t>
  </si>
  <si>
    <t>Mes</t>
  </si>
  <si>
    <t>Variedades Disponibles (cantidad)</t>
  </si>
  <si>
    <t>SALA 6</t>
  </si>
  <si>
    <t>Junio 2026</t>
  </si>
  <si>
    <t>Papaya Feno Hunting (22), Cherry Zoda (19), Brrberry (3), Sour nana (1), Spritz (3)</t>
  </si>
  <si>
    <t>CARPA 3</t>
  </si>
  <si>
    <t>Julio 2026</t>
  </si>
  <si>
    <t>Guava (37)</t>
  </si>
  <si>
    <t>SALA 2</t>
  </si>
  <si>
    <t>Guava (30), Mix (10)</t>
  </si>
  <si>
    <t>SALA 3</t>
  </si>
  <si>
    <t>Lemon Cherry (18), Frozen Biscotti #2 (26), HTT #4 (19), Blue Zushi (9)</t>
  </si>
  <si>
    <t>SALA 4</t>
  </si>
  <si>
    <t>Agosto 2026</t>
  </si>
  <si>
    <t>Brrberry (16), Cherry Zoda (12), Spritz (22)</t>
  </si>
  <si>
    <t>SALA 5</t>
  </si>
  <si>
    <t>Papaya Feno Hunting (33)</t>
  </si>
  <si>
    <t>CARPA 2</t>
  </si>
  <si>
    <t>HTT Feno Hunt Mix (25)</t>
  </si>
  <si>
    <t>SALA 1</t>
  </si>
  <si>
    <t>Coco (28), MR (44)</t>
  </si>
  <si>
    <t>CARPA 1</t>
  </si>
  <si>
    <t>Septiembre 2026</t>
  </si>
  <si>
    <t>Cherry Zoda (3), Hot tub time (2), Papaya Feno Hunting (5)</t>
  </si>
  <si>
    <t>CARPA 4</t>
  </si>
  <si>
    <t>Coco (14)</t>
  </si>
  <si>
    <t>🌿  SALA 1</t>
  </si>
  <si>
    <t>Coco</t>
  </si>
  <si>
    <t>🌿  SALA 2</t>
  </si>
  <si>
    <t>Mix</t>
  </si>
  <si>
    <t>🌿  SALA 3</t>
  </si>
  <si>
    <t>Lemon Cherry</t>
  </si>
  <si>
    <t>🌿  SALA 4</t>
  </si>
  <si>
    <t>🌿  SALA 5</t>
  </si>
  <si>
    <t>🌿  CARPA 1</t>
  </si>
  <si>
    <t>Ingreso a Carpa</t>
  </si>
  <si>
    <t>Hot tub time</t>
  </si>
  <si>
    <t>🌿  CARPA 2</t>
  </si>
  <si>
    <t>HTT Feno Hunt Mix</t>
  </si>
  <si>
    <t>🌿  CARPA 3</t>
  </si>
  <si>
    <t>🌿  CARPA 4</t>
  </si>
  <si>
    <t>⚖️  REGISTRO DE PESOS — Cosechas por Sala/Carpa (peso final seco)</t>
  </si>
  <si>
    <t>ℹ️  La Fecha de Corte se trae automáticamente de cada hoja de Sala/Carpa. Ingresa el Peso Final Seco TOTAL del ciclo en la primera fila de cada ciclo (celda amarilla); el reparto por variedad y sus % se calculan solos según la cantidad de plantas registrada en esa hoja.</t>
  </si>
  <si>
    <t>Ciclo</t>
  </si>
  <si>
    <t>Fecha Corte</t>
  </si>
  <si>
    <t>% Plantas</t>
  </si>
  <si>
    <t>Peso Final Seco (g)</t>
  </si>
  <si>
    <t>Peso Final Seco (kg)</t>
  </si>
  <si>
    <t>TOTAL CICLO</t>
  </si>
  <si>
    <t>(sin variedad)</t>
  </si>
  <si>
    <t>LEYENDA Y GUÍA DE USO</t>
  </si>
  <si>
    <t>Celda amarilla</t>
  </si>
  <si>
    <t>Campo de entrada manual — escribe aquí tus datos</t>
  </si>
  <si>
    <t>Texto azul (días)</t>
  </si>
  <si>
    <t>Duración de etapa — puedes modificar según tu ciclo</t>
  </si>
  <si>
    <t>Fondo verde claro</t>
  </si>
  <si>
    <t>Encabezado de sección</t>
  </si>
  <si>
    <t>Texto verde</t>
  </si>
  <si>
    <t>Nombre de sala/carpa en resumen</t>
  </si>
  <si>
    <t>FLUJO ESTÁNDAR — SALAS</t>
  </si>
  <si>
    <t>Esquejes (21d)</t>
  </si>
  <si>
    <t>→ Trasplante Vaso (14d)</t>
  </si>
  <si>
    <t>→ Trasplante Maceta (14d)</t>
  </si>
  <si>
    <t>→ Ingreso Sala (16d)</t>
  </si>
  <si>
    <t>→ Floración (63d)</t>
  </si>
  <si>
    <t>→ Corte (1d)</t>
  </si>
  <si>
    <t>→ Secado (7d)</t>
  </si>
  <si>
    <t>→ Procesado (3d)</t>
  </si>
  <si>
    <t>→ Disponible</t>
  </si>
  <si>
    <t>FLUJO ESTÁNDAR — CARPAS</t>
  </si>
  <si>
    <t>Ingreso a Carpa (20d)</t>
  </si>
  <si>
    <t>La programacion de sala 1 se retraso debido a los problemas del timer de ragnar, se evaluo dejar menos unidades y solo de MR, pero las coco recuperaron y se logro 72 unidades. se bajaron todos los mesones y se sello para la implementacion de CO2. Esto genero un desfase aprox de 15 dias. Actualmente estan muy sanas y creciendo a buen ritmo.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</si>
</sst>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%"/>
  </numFmts>
  <fonts count="17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9"/>
      <color rgb="FF3D3D3D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2D6A4F"/>
      <name val="Arial"/>
      <charset val="1"/>
    </font>
    <font>
      <sz val="8"/>
      <color rgb="FF3D3D3D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i/>
      <sz val="8"/>
      <color rgb="FF3D3D3D"/>
      <name val="Arial"/>
      <charset val="1"/>
    </font>
    <font>
      <b/>
      <sz val="14"/>
      <color rgb="FFFFFFFF"/>
      <name val="Arial"/>
      <charset val="1"/>
    </font>
    <font>
      <b/>
      <sz val="12"/>
      <color rgb="FFFFFFFF"/>
      <name val="Arial"/>
      <charset val="1"/>
    </font>
    <font>
      <sz val="9"/>
      <color rgb="FF0070C0"/>
      <name val="Arial"/>
      <charset val="1"/>
    </font>
    <font>
      <b/>
      <sz val="9"/>
      <color rgb="FF3D3D3D"/>
      <name val="Arial"/>
      <charset val="1"/>
    </font>
    <font>
      <sz val="10"/>
      <name val="Arial"/>
      <charset val="1"/>
    </font>
    <font>
      <sz val="10"/>
      <color rgb="FF3D3D3D"/>
      <name val="Arial"/>
      <charset val="1"/>
    </font>
    <font>
      <sz val="8"/>
      <color rgb="FF2D6A4F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2D6A4F"/>
        <bgColor rgb="FF1B4332"/>
      </patternFill>
    </fill>
    <fill>
      <patternFill patternType="solid">
        <fgColor rgb="FFD8F3DC"/>
        <bgColor rgb="FFD6E8FF"/>
      </patternFill>
    </fill>
    <fill>
      <patternFill patternType="solid">
        <fgColor rgb="FF52B788"/>
        <bgColor rgb="FF74C69D"/>
      </patternFill>
    </fill>
    <fill>
      <patternFill patternType="solid">
        <fgColor rgb="FFF5F5F5"/>
        <bgColor rgb="FFFFFFFF"/>
      </patternFill>
    </fill>
    <fill>
      <patternFill patternType="solid">
        <fgColor rgb="FFFFF3CD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3D3D3D"/>
        <bgColor rgb="FF1B4332"/>
      </patternFill>
    </fill>
    <fill>
      <patternFill patternType="solid">
        <fgColor theme="6" tint="0.39976195562608724"/>
        <bgColor rgb="FFB9CDE5"/>
      </patternFill>
    </fill>
    <fill>
      <patternFill patternType="solid">
        <fgColor theme="3" tint="0.59978026673177287"/>
        <bgColor rgb="FF9999FF"/>
      </patternFill>
    </fill>
    <fill>
      <patternFill patternType="solid">
        <fgColor theme="4" tint="0.59978026673177287"/>
        <bgColor rgb="FFB7B7B7"/>
      </patternFill>
    </fill>
    <fill>
      <patternFill patternType="solid">
        <fgColor rgb="FFD6E8FF"/>
        <bgColor rgb="FFD8F3DC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/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5" fillId="7" borderId="1" xfId="0" applyFont="1" applyFill="1" applyBorder="1"/>
    <xf numFmtId="0" fontId="2" fillId="7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6" borderId="1" xfId="0" applyFont="1" applyFill="1" applyBorder="1"/>
    <xf numFmtId="164" fontId="0" fillId="6" borderId="1" xfId="0" applyNumberFormat="1" applyFill="1" applyBorder="1"/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left"/>
    </xf>
    <xf numFmtId="164" fontId="2" fillId="6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/>
    </xf>
    <xf numFmtId="164" fontId="2" fillId="6" borderId="1" xfId="0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center" vertical="center"/>
    </xf>
    <xf numFmtId="164" fontId="2" fillId="9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center" vertical="center"/>
    </xf>
    <xf numFmtId="164" fontId="2" fillId="7" borderId="1" xfId="0" applyNumberFormat="1" applyFont="1" applyFill="1" applyBorder="1" applyAlignment="1">
      <alignment horizontal="center" vertical="center"/>
    </xf>
    <xf numFmtId="164" fontId="2" fillId="10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4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14" fontId="2" fillId="5" borderId="1" xfId="0" applyNumberFormat="1" applyFont="1" applyFill="1" applyBorder="1" applyAlignment="1">
      <alignment horizontal="center" vertical="center"/>
    </xf>
    <xf numFmtId="14" fontId="2" fillId="7" borderId="1" xfId="0" applyNumberFormat="1" applyFont="1" applyFill="1" applyBorder="1" applyAlignment="1">
      <alignment horizontal="center" vertical="center"/>
    </xf>
    <xf numFmtId="14" fontId="2" fillId="10" borderId="1" xfId="0" applyNumberFormat="1" applyFont="1" applyFill="1" applyBorder="1" applyAlignment="1">
      <alignment horizontal="center" vertical="center"/>
    </xf>
    <xf numFmtId="164" fontId="2" fillId="11" borderId="1" xfId="0" applyNumberFormat="1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center" vertical="center"/>
    </xf>
    <xf numFmtId="0" fontId="0" fillId="8" borderId="1" xfId="0" applyFill="1" applyBorder="1"/>
    <xf numFmtId="0" fontId="4" fillId="8" borderId="1" xfId="0" applyFont="1" applyFill="1" applyBorder="1" applyAlignment="1">
      <alignment horizontal="right" vertical="center"/>
    </xf>
    <xf numFmtId="0" fontId="14" fillId="6" borderId="0" xfId="0" applyFont="1" applyFill="1" applyAlignment="1">
      <alignment horizontal="center" vertical="center"/>
    </xf>
    <xf numFmtId="0" fontId="0" fillId="6" borderId="0" xfId="0" applyFill="1"/>
    <xf numFmtId="0" fontId="15" fillId="0" borderId="0" xfId="0" applyFont="1"/>
    <xf numFmtId="0" fontId="14" fillId="12" borderId="0" xfId="0" applyFont="1" applyFill="1" applyAlignment="1">
      <alignment horizontal="center" vertical="center"/>
    </xf>
    <xf numFmtId="0" fontId="0" fillId="12" borderId="0" xfId="0" applyFill="1"/>
    <xf numFmtId="0" fontId="14" fillId="3" borderId="0" xfId="0" applyFont="1" applyFill="1" applyAlignment="1">
      <alignment horizontal="center" vertical="center"/>
    </xf>
    <xf numFmtId="0" fontId="0" fillId="3" borderId="0" xfId="0" applyFill="1"/>
    <xf numFmtId="0" fontId="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6" borderId="3" xfId="0" applyFill="1" applyBorder="1" applyAlignment="1">
      <alignment vertical="top" wrapText="1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13" fillId="3" borderId="3" xfId="0" applyFont="1" applyFill="1" applyBorder="1"/>
    <xf numFmtId="0" fontId="0" fillId="0" borderId="5" xfId="0" applyBorder="1"/>
    <xf numFmtId="0" fontId="7" fillId="8" borderId="0" xfId="0" applyFont="1" applyFill="1" applyAlignment="1">
      <alignment horizontal="center" vertical="center" wrapText="1"/>
    </xf>
    <xf numFmtId="0" fontId="0" fillId="0" borderId="0" xfId="0"/>
    <xf numFmtId="0" fontId="7" fillId="4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9" fillId="0" borderId="0" xfId="0" applyFont="1"/>
    <xf numFmtId="0" fontId="2" fillId="3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7" fillId="4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9" fillId="0" borderId="0" xfId="0" applyFont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B7B7B7"/>
      <rgbColor rgb="FF808080"/>
      <rgbColor rgb="FF9999FF"/>
      <rgbColor rgb="FF993366"/>
      <rgbColor rgb="FFFFF3CD"/>
      <rgbColor rgb="FFD6E8FF"/>
      <rgbColor rgb="FF660066"/>
      <rgbColor rgb="FFFF8080"/>
      <rgbColor rgb="FF0070C0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8F3DC"/>
      <rgbColor rgb="FFFFFF99"/>
      <rgbColor rgb="FF8DB4E3"/>
      <rgbColor rgb="FFFF99CC"/>
      <rgbColor rgb="FFCC99FF"/>
      <rgbColor rgb="FFC3D69B"/>
      <rgbColor rgb="FF3366FF"/>
      <rgbColor rgb="FF52B788"/>
      <rgbColor rgb="FF99CC00"/>
      <rgbColor rgb="FFFFCC00"/>
      <rgbColor rgb="FFFF9900"/>
      <rgbColor rgb="FFFF6600"/>
      <rgbColor rgb="FF666699"/>
      <rgbColor rgb="FF74C69D"/>
      <rgbColor rgb="FF003366"/>
      <rgbColor rgb="FF40916C"/>
      <rgbColor rgb="FF003300"/>
      <rgbColor rgb="FF1B4332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D6A4F"/>
  </sheetPr>
  <dimension ref="A1:L36"/>
  <sheetViews>
    <sheetView showGridLines="0" topLeftCell="A2" zoomScaleNormal="100" workbookViewId="0">
      <selection activeCell="D5" sqref="D5"/>
    </sheetView>
  </sheetViews>
  <sheetFormatPr baseColWidth="10" defaultColWidth="8.6640625" defaultRowHeight="14.4" x14ac:dyDescent="0.3"/>
  <cols>
    <col min="1" max="1" width="14" customWidth="1"/>
    <col min="2" max="2" width="22" customWidth="1"/>
    <col min="3" max="3" width="12" customWidth="1"/>
    <col min="4" max="4" width="18" customWidth="1"/>
    <col min="5" max="6" width="13" customWidth="1"/>
    <col min="7" max="7" width="22" customWidth="1"/>
    <col min="8" max="10" width="10" customWidth="1"/>
    <col min="11" max="11" width="22" customWidth="1"/>
  </cols>
  <sheetData>
    <row r="1" spans="1:12" ht="36" customHeight="1" x14ac:dyDescent="0.3">
      <c r="A1" s="70" t="s">
        <v>35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2" ht="14.25" customHeight="1" x14ac:dyDescent="0.3">
      <c r="A2" s="69" t="s">
        <v>36</v>
      </c>
      <c r="B2" s="64"/>
      <c r="C2" s="64"/>
      <c r="D2" s="64"/>
      <c r="E2" s="64"/>
      <c r="F2" s="64"/>
      <c r="G2" s="64"/>
      <c r="H2" s="64"/>
      <c r="I2" s="64"/>
      <c r="J2" s="64"/>
      <c r="K2" s="64"/>
    </row>
    <row r="4" spans="1:12" ht="21.75" customHeight="1" x14ac:dyDescent="0.3">
      <c r="A4" s="67" t="s">
        <v>37</v>
      </c>
      <c r="B4" s="64"/>
      <c r="C4" s="64"/>
      <c r="D4" s="64"/>
      <c r="E4" s="64"/>
      <c r="F4" s="64"/>
      <c r="G4" s="64"/>
      <c r="H4" s="64"/>
      <c r="I4" s="64"/>
      <c r="J4" s="64"/>
      <c r="K4" s="64"/>
    </row>
    <row r="5" spans="1:12" ht="27.75" customHeight="1" x14ac:dyDescent="0.3">
      <c r="A5" s="1" t="s">
        <v>38</v>
      </c>
      <c r="B5" s="1" t="s">
        <v>39</v>
      </c>
      <c r="C5" s="1" t="s">
        <v>40</v>
      </c>
      <c r="D5" s="1" t="s">
        <v>41</v>
      </c>
      <c r="E5" s="1" t="s">
        <v>42</v>
      </c>
      <c r="G5" s="1" t="s">
        <v>43</v>
      </c>
      <c r="H5" s="1" t="s">
        <v>3</v>
      </c>
      <c r="I5" s="1" t="s">
        <v>44</v>
      </c>
      <c r="J5" s="1" t="s">
        <v>45</v>
      </c>
      <c r="K5" s="1" t="s">
        <v>46</v>
      </c>
      <c r="L5" s="1" t="s">
        <v>47</v>
      </c>
    </row>
    <row r="6" spans="1:12" ht="19.5" customHeight="1" x14ac:dyDescent="0.3">
      <c r="A6" s="2" t="s">
        <v>48</v>
      </c>
      <c r="B6" s="3"/>
      <c r="C6" s="3"/>
      <c r="D6" s="4"/>
      <c r="E6" s="4"/>
      <c r="G6" s="4"/>
      <c r="H6" s="4"/>
      <c r="I6" s="4"/>
      <c r="J6" s="4"/>
      <c r="K6" s="4"/>
      <c r="L6" s="4"/>
    </row>
    <row r="7" spans="1:12" ht="19.5" customHeight="1" x14ac:dyDescent="0.3">
      <c r="A7" s="5" t="s">
        <v>49</v>
      </c>
      <c r="B7" s="6"/>
      <c r="C7" s="6"/>
      <c r="D7" s="4"/>
      <c r="E7" s="4"/>
      <c r="G7" s="4"/>
      <c r="H7" s="4"/>
      <c r="I7" s="4"/>
      <c r="J7" s="4"/>
      <c r="K7" s="4"/>
      <c r="L7" s="4"/>
    </row>
    <row r="8" spans="1:12" ht="19.5" customHeight="1" x14ac:dyDescent="0.3">
      <c r="A8" s="2" t="s">
        <v>50</v>
      </c>
      <c r="B8" s="3"/>
      <c r="C8" s="3"/>
      <c r="D8" s="4"/>
      <c r="E8" s="4"/>
      <c r="G8" s="4"/>
      <c r="H8" s="4"/>
      <c r="I8" s="4"/>
      <c r="J8" s="4"/>
      <c r="K8" s="4"/>
      <c r="L8" s="4"/>
    </row>
    <row r="9" spans="1:12" ht="19.5" customHeight="1" x14ac:dyDescent="0.3">
      <c r="A9" s="5" t="s">
        <v>51</v>
      </c>
      <c r="B9" s="6"/>
      <c r="C9" s="6"/>
      <c r="D9" s="4"/>
      <c r="E9" s="4"/>
      <c r="G9" s="4"/>
      <c r="H9" s="4"/>
      <c r="I9" s="4"/>
      <c r="J9" s="4"/>
      <c r="K9" s="4"/>
      <c r="L9" s="4"/>
    </row>
    <row r="10" spans="1:12" ht="19.5" customHeight="1" x14ac:dyDescent="0.3">
      <c r="A10" s="2" t="s">
        <v>52</v>
      </c>
      <c r="B10" s="3"/>
      <c r="C10" s="3"/>
      <c r="D10" s="4"/>
      <c r="E10" s="4"/>
      <c r="G10" s="4"/>
      <c r="H10" s="4"/>
      <c r="I10" s="4"/>
      <c r="J10" s="4"/>
      <c r="K10" s="4"/>
      <c r="L10" s="4"/>
    </row>
    <row r="11" spans="1:12" ht="19.5" customHeight="1" x14ac:dyDescent="0.3">
      <c r="A11" s="5" t="s">
        <v>53</v>
      </c>
      <c r="B11" s="6"/>
      <c r="C11" s="6"/>
      <c r="D11" s="4"/>
      <c r="E11" s="4"/>
      <c r="G11" s="4"/>
      <c r="H11" s="4"/>
      <c r="I11" s="4"/>
      <c r="J11" s="4"/>
      <c r="K11" s="4"/>
      <c r="L11" s="4"/>
    </row>
    <row r="12" spans="1:12" ht="19.5" customHeight="1" x14ac:dyDescent="0.3">
      <c r="A12" s="2" t="s">
        <v>54</v>
      </c>
      <c r="B12" s="3"/>
      <c r="C12" s="3"/>
      <c r="D12" s="4"/>
      <c r="E12" s="4"/>
      <c r="G12" s="4"/>
      <c r="H12" s="4"/>
      <c r="I12" s="4"/>
      <c r="J12" s="4"/>
      <c r="K12" s="4"/>
      <c r="L12" s="4"/>
    </row>
    <row r="13" spans="1:12" ht="19.5" customHeight="1" x14ac:dyDescent="0.3">
      <c r="A13" s="5" t="s">
        <v>55</v>
      </c>
      <c r="B13" s="6"/>
      <c r="C13" s="6"/>
      <c r="D13" s="4"/>
      <c r="E13" s="4"/>
      <c r="G13" s="4"/>
      <c r="H13" s="4"/>
      <c r="I13" s="4"/>
      <c r="J13" s="4"/>
      <c r="K13" s="4"/>
      <c r="L13" s="4"/>
    </row>
    <row r="14" spans="1:12" ht="19.5" customHeight="1" x14ac:dyDescent="0.3">
      <c r="A14" s="2" t="s">
        <v>56</v>
      </c>
      <c r="B14" s="3"/>
      <c r="C14" s="3"/>
      <c r="D14" s="4"/>
      <c r="E14" s="4"/>
      <c r="G14" s="4"/>
      <c r="H14" s="4"/>
      <c r="I14" s="4"/>
      <c r="J14" s="4"/>
      <c r="K14" s="4"/>
      <c r="L14" s="4"/>
    </row>
    <row r="15" spans="1:12" ht="19.5" customHeight="1" x14ac:dyDescent="0.3">
      <c r="A15" s="5" t="s">
        <v>57</v>
      </c>
      <c r="B15" s="6"/>
      <c r="C15" s="6"/>
      <c r="D15" s="4"/>
      <c r="E15" s="4"/>
      <c r="G15" s="4"/>
      <c r="H15" s="4"/>
      <c r="I15" s="4"/>
      <c r="J15" s="4"/>
      <c r="K15" s="4"/>
      <c r="L15" s="4"/>
    </row>
    <row r="17" spans="1:11" ht="14.25" customHeight="1" x14ac:dyDescent="0.3">
      <c r="A17" s="71" t="s">
        <v>58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</row>
    <row r="19" spans="1:11" ht="15" customHeight="1" x14ac:dyDescent="0.3">
      <c r="A19" s="63" t="s">
        <v>59</v>
      </c>
      <c r="B19" s="64"/>
      <c r="C19" s="64"/>
      <c r="D19" s="64"/>
      <c r="E19" s="64"/>
      <c r="F19" s="64"/>
    </row>
    <row r="20" spans="1:11" ht="24" customHeight="1" x14ac:dyDescent="0.3">
      <c r="A20" s="7" t="s">
        <v>2</v>
      </c>
      <c r="B20" s="7" t="s">
        <v>3</v>
      </c>
      <c r="C20" s="7" t="s">
        <v>4</v>
      </c>
      <c r="D20" s="7" t="s">
        <v>45</v>
      </c>
      <c r="E20" s="7" t="s">
        <v>46</v>
      </c>
      <c r="F20" s="1" t="s">
        <v>7</v>
      </c>
      <c r="G20" s="7" t="s">
        <v>8</v>
      </c>
    </row>
    <row r="21" spans="1:11" ht="14.25" customHeight="1" x14ac:dyDescent="0.3">
      <c r="A21" s="8"/>
      <c r="B21" s="9"/>
      <c r="C21" s="9"/>
      <c r="D21" s="9"/>
      <c r="E21" s="9"/>
      <c r="F21" s="4"/>
      <c r="G21" s="9"/>
    </row>
    <row r="22" spans="1:11" ht="14.25" customHeight="1" x14ac:dyDescent="0.3">
      <c r="A22" s="8"/>
      <c r="B22" s="9"/>
      <c r="C22" s="9"/>
      <c r="D22" s="9"/>
      <c r="E22" s="9"/>
      <c r="F22" s="4"/>
      <c r="G22" s="9"/>
    </row>
    <row r="23" spans="1:11" ht="14.25" customHeight="1" x14ac:dyDescent="0.3">
      <c r="A23" s="8"/>
      <c r="B23" s="9"/>
      <c r="C23" s="9"/>
      <c r="D23" s="9"/>
      <c r="E23" s="9"/>
      <c r="F23" s="4"/>
      <c r="G23" s="9"/>
    </row>
    <row r="24" spans="1:11" ht="14.25" customHeight="1" x14ac:dyDescent="0.3">
      <c r="A24" s="8"/>
      <c r="B24" s="9"/>
      <c r="C24" s="9"/>
      <c r="D24" s="9"/>
      <c r="E24" s="9"/>
      <c r="F24" s="4"/>
      <c r="G24" s="9"/>
    </row>
    <row r="25" spans="1:11" ht="14.25" customHeight="1" x14ac:dyDescent="0.3">
      <c r="A25" s="8"/>
      <c r="B25" s="9"/>
      <c r="C25" s="9"/>
      <c r="D25" s="9"/>
      <c r="E25" s="9"/>
      <c r="F25" s="4"/>
      <c r="G25" s="9"/>
    </row>
    <row r="26" spans="1:11" ht="14.25" customHeight="1" x14ac:dyDescent="0.3">
      <c r="A26" s="8"/>
      <c r="B26" s="9"/>
      <c r="C26" s="9"/>
      <c r="D26" s="9"/>
      <c r="E26" s="9"/>
      <c r="F26" s="4"/>
      <c r="G26" s="9"/>
    </row>
    <row r="27" spans="1:11" ht="14.25" customHeight="1" x14ac:dyDescent="0.3">
      <c r="A27" s="8"/>
      <c r="B27" s="9"/>
      <c r="C27" s="9"/>
      <c r="D27" s="9"/>
      <c r="E27" s="9"/>
      <c r="F27" s="4"/>
      <c r="G27" s="9"/>
    </row>
    <row r="28" spans="1:11" ht="14.25" customHeight="1" x14ac:dyDescent="0.3">
      <c r="A28" s="8"/>
      <c r="B28" s="9"/>
      <c r="C28" s="9"/>
      <c r="D28" s="9"/>
      <c r="E28" s="9"/>
      <c r="F28" s="4"/>
      <c r="G28" s="9"/>
    </row>
    <row r="29" spans="1:11" ht="14.25" customHeight="1" x14ac:dyDescent="0.3">
      <c r="A29" s="8"/>
      <c r="B29" s="9"/>
      <c r="C29" s="9"/>
      <c r="D29" s="9"/>
      <c r="E29" s="9"/>
      <c r="F29" s="4"/>
      <c r="G29" s="9"/>
    </row>
    <row r="30" spans="1:11" ht="14.25" customHeight="1" x14ac:dyDescent="0.3">
      <c r="A30" s="8"/>
      <c r="B30" s="9"/>
      <c r="C30" s="9"/>
      <c r="D30" s="9"/>
      <c r="E30" s="9"/>
      <c r="F30" s="4"/>
      <c r="G30" s="9"/>
    </row>
    <row r="31" spans="1:11" ht="14.25" customHeight="1" x14ac:dyDescent="0.3">
      <c r="A31" s="8"/>
      <c r="B31" s="9"/>
      <c r="C31" s="9"/>
      <c r="D31" s="9"/>
      <c r="E31" s="9"/>
      <c r="F31" s="4"/>
      <c r="G31" s="9"/>
    </row>
    <row r="32" spans="1:11" ht="14.25" customHeight="1" x14ac:dyDescent="0.3">
      <c r="A32" s="8"/>
      <c r="B32" s="9"/>
      <c r="C32" s="9"/>
      <c r="D32" s="9"/>
      <c r="E32" s="9"/>
      <c r="F32" s="4"/>
      <c r="G32" s="9"/>
    </row>
    <row r="33" spans="1:7" ht="14.25" customHeight="1" x14ac:dyDescent="0.3">
      <c r="A33" s="8"/>
      <c r="B33" s="9"/>
      <c r="C33" s="9"/>
      <c r="D33" s="9"/>
      <c r="E33" s="9"/>
      <c r="F33" s="4"/>
      <c r="G33" s="9"/>
    </row>
    <row r="34" spans="1:7" ht="14.25" customHeight="1" x14ac:dyDescent="0.3">
      <c r="A34" s="8"/>
      <c r="B34" s="9"/>
      <c r="C34" s="9"/>
      <c r="D34" s="9"/>
      <c r="E34" s="9"/>
      <c r="F34" s="4"/>
      <c r="G34" s="9"/>
    </row>
    <row r="35" spans="1:7" ht="14.25" customHeight="1" x14ac:dyDescent="0.3">
      <c r="A35" s="8"/>
      <c r="B35" s="9"/>
      <c r="C35" s="9"/>
      <c r="D35" s="9"/>
      <c r="E35" s="9"/>
      <c r="F35" s="4"/>
      <c r="G35" s="9"/>
    </row>
    <row r="36" spans="1:7" ht="14.25" customHeight="1" x14ac:dyDescent="0.3">
      <c r="A36" s="68"/>
      <c r="B36" s="64"/>
      <c r="C36" s="64"/>
      <c r="D36" s="64"/>
      <c r="E36" s="64"/>
      <c r="F36" s="64"/>
    </row>
  </sheetData>
  <mergeCells count="6">
    <mergeCell ref="A4:K4"/>
    <mergeCell ref="A36:F36"/>
    <mergeCell ref="A19:F19"/>
    <mergeCell ref="A2:K2"/>
    <mergeCell ref="A1:K1"/>
    <mergeCell ref="A17:K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2B788"/>
  </sheetPr>
  <dimension ref="A1:J25"/>
  <sheetViews>
    <sheetView showGridLines="0" zoomScale="126" zoomScaleNormal="126" workbookViewId="0">
      <selection activeCell="O18" sqref="O18"/>
    </sheetView>
  </sheetViews>
  <sheetFormatPr baseColWidth="10" defaultColWidth="8.6640625" defaultRowHeight="14.4" x14ac:dyDescent="0.3"/>
  <cols>
    <col min="1" max="1" width="20" customWidth="1"/>
    <col min="2" max="2" width="14" customWidth="1"/>
    <col min="3" max="3" width="10" customWidth="1"/>
    <col min="4" max="4" width="14" customWidth="1"/>
    <col min="5" max="5" width="2" customWidth="1"/>
    <col min="6" max="6" width="20" customWidth="1"/>
    <col min="7" max="7" width="14" customWidth="1"/>
    <col min="8" max="8" width="10" customWidth="1"/>
    <col min="9" max="9" width="13" customWidth="1"/>
    <col min="10" max="10" width="20" customWidth="1"/>
  </cols>
  <sheetData>
    <row r="1" spans="1:10" ht="30" customHeight="1" x14ac:dyDescent="0.3">
      <c r="A1" s="66" t="s">
        <v>60</v>
      </c>
      <c r="B1" s="64"/>
      <c r="C1" s="64"/>
      <c r="D1" s="64"/>
      <c r="E1" s="64"/>
      <c r="F1" s="64"/>
      <c r="G1" s="64"/>
      <c r="H1" s="64"/>
      <c r="I1" s="64"/>
    </row>
    <row r="3" spans="1:10" ht="19.5" customHeight="1" x14ac:dyDescent="0.3">
      <c r="A3" s="72" t="s">
        <v>61</v>
      </c>
      <c r="B3" s="64"/>
      <c r="C3" s="64"/>
      <c r="D3" s="64"/>
      <c r="F3" s="72" t="s">
        <v>62</v>
      </c>
      <c r="G3" s="64"/>
      <c r="H3" s="64"/>
      <c r="I3" s="64"/>
    </row>
    <row r="4" spans="1:10" ht="14.25" customHeight="1" x14ac:dyDescent="0.3">
      <c r="A4" s="10" t="s">
        <v>63</v>
      </c>
      <c r="B4" s="10"/>
      <c r="C4" s="10" t="s">
        <v>64</v>
      </c>
      <c r="D4" s="10" t="s">
        <v>65</v>
      </c>
      <c r="F4" s="10" t="s">
        <v>63</v>
      </c>
      <c r="G4" s="10" t="s">
        <v>66</v>
      </c>
      <c r="H4" s="10" t="s">
        <v>64</v>
      </c>
      <c r="I4" s="10" t="s">
        <v>65</v>
      </c>
    </row>
    <row r="5" spans="1:10" ht="14.25" customHeight="1" x14ac:dyDescent="0.3">
      <c r="A5" s="11" t="s">
        <v>67</v>
      </c>
      <c r="B5" s="12"/>
      <c r="C5" s="13">
        <v>36</v>
      </c>
      <c r="D5" s="11"/>
      <c r="F5" s="14" t="s">
        <v>68</v>
      </c>
      <c r="G5" s="15"/>
      <c r="H5" s="13">
        <v>36</v>
      </c>
      <c r="I5" s="14"/>
    </row>
    <row r="6" spans="1:10" ht="14.25" customHeight="1" x14ac:dyDescent="0.3">
      <c r="A6" s="11" t="s">
        <v>69</v>
      </c>
      <c r="B6" s="12"/>
      <c r="C6" s="13">
        <v>7</v>
      </c>
      <c r="D6" s="11"/>
      <c r="F6" s="14" t="s">
        <v>70</v>
      </c>
      <c r="G6" s="15"/>
      <c r="H6" s="13">
        <v>36</v>
      </c>
      <c r="I6" s="14"/>
    </row>
    <row r="7" spans="1:10" ht="14.25" customHeight="1" x14ac:dyDescent="0.3">
      <c r="A7" s="11" t="s">
        <v>71</v>
      </c>
      <c r="B7" s="12"/>
      <c r="C7" s="13">
        <v>41</v>
      </c>
      <c r="D7" s="11"/>
      <c r="F7" s="14"/>
      <c r="G7" s="15"/>
      <c r="H7" s="13"/>
      <c r="I7" s="14"/>
    </row>
    <row r="8" spans="1:10" ht="14.25" customHeight="1" x14ac:dyDescent="0.3">
      <c r="A8" s="11" t="s">
        <v>72</v>
      </c>
      <c r="B8" s="12"/>
      <c r="C8" s="13">
        <v>24</v>
      </c>
      <c r="D8" s="11"/>
      <c r="F8" s="14"/>
      <c r="G8" s="15"/>
      <c r="H8" s="13"/>
      <c r="I8" s="14"/>
    </row>
    <row r="9" spans="1:10" ht="14.25" customHeight="1" x14ac:dyDescent="0.3">
      <c r="A9" s="11" t="s">
        <v>70</v>
      </c>
      <c r="B9" s="12"/>
      <c r="C9" s="13">
        <v>18</v>
      </c>
      <c r="D9" s="11"/>
      <c r="F9" s="14"/>
      <c r="G9" s="15"/>
      <c r="H9" s="13"/>
      <c r="I9" s="14"/>
    </row>
    <row r="10" spans="1:10" ht="14.25" customHeight="1" x14ac:dyDescent="0.3">
      <c r="A10" s="11" t="s">
        <v>73</v>
      </c>
      <c r="B10" s="12"/>
      <c r="C10" s="13">
        <v>12</v>
      </c>
      <c r="D10" s="11"/>
      <c r="F10" s="14"/>
      <c r="G10" s="15"/>
      <c r="H10" s="13"/>
      <c r="I10" s="14"/>
    </row>
    <row r="12" spans="1:10" ht="15" customHeight="1" x14ac:dyDescent="0.3">
      <c r="A12" s="72" t="s">
        <v>74</v>
      </c>
      <c r="B12" s="64"/>
      <c r="C12" s="64"/>
      <c r="D12" s="64"/>
      <c r="F12" s="63" t="s">
        <v>1</v>
      </c>
      <c r="G12" s="64"/>
      <c r="H12" s="64"/>
      <c r="I12" s="64"/>
    </row>
    <row r="13" spans="1:10" ht="24" customHeight="1" x14ac:dyDescent="0.3">
      <c r="A13" s="10" t="s">
        <v>63</v>
      </c>
      <c r="B13" s="16" t="s">
        <v>75</v>
      </c>
      <c r="C13" s="10" t="s">
        <v>64</v>
      </c>
      <c r="D13" s="10" t="s">
        <v>76</v>
      </c>
      <c r="F13" s="7" t="s">
        <v>2</v>
      </c>
      <c r="G13" s="7" t="s">
        <v>3</v>
      </c>
      <c r="H13" s="7" t="s">
        <v>4</v>
      </c>
      <c r="I13" s="1" t="s">
        <v>7</v>
      </c>
      <c r="J13" s="7" t="s">
        <v>8</v>
      </c>
    </row>
    <row r="14" spans="1:10" ht="14.25" customHeight="1" x14ac:dyDescent="0.3">
      <c r="A14" s="17" t="s">
        <v>70</v>
      </c>
      <c r="B14" s="18"/>
      <c r="C14" s="4">
        <v>1</v>
      </c>
      <c r="D14" s="17"/>
      <c r="F14" s="8"/>
      <c r="G14" s="9"/>
      <c r="H14" s="9"/>
      <c r="I14" s="4"/>
      <c r="J14" s="9"/>
    </row>
    <row r="15" spans="1:10" ht="14.25" customHeight="1" x14ac:dyDescent="0.3">
      <c r="A15" s="17" t="s">
        <v>68</v>
      </c>
      <c r="B15" s="18"/>
      <c r="C15" s="4">
        <v>2</v>
      </c>
      <c r="D15" s="17"/>
      <c r="F15" s="8"/>
      <c r="G15" s="9"/>
      <c r="H15" s="9"/>
      <c r="I15" s="4"/>
      <c r="J15" s="9"/>
    </row>
    <row r="16" spans="1:10" ht="14.25" customHeight="1" x14ac:dyDescent="0.3">
      <c r="A16" s="17" t="s">
        <v>77</v>
      </c>
      <c r="B16" s="18"/>
      <c r="C16" s="4">
        <v>2</v>
      </c>
      <c r="D16" s="17"/>
      <c r="F16" s="8"/>
      <c r="G16" s="9"/>
      <c r="H16" s="9"/>
      <c r="I16" s="4"/>
      <c r="J16" s="9"/>
    </row>
    <row r="17" spans="1:10" ht="14.25" customHeight="1" x14ac:dyDescent="0.3">
      <c r="A17" s="17" t="s">
        <v>78</v>
      </c>
      <c r="B17" s="18"/>
      <c r="C17" s="4">
        <v>1</v>
      </c>
      <c r="D17" s="17"/>
      <c r="F17" s="8"/>
      <c r="G17" s="9"/>
      <c r="H17" s="9"/>
      <c r="I17" s="4"/>
      <c r="J17" s="9"/>
    </row>
    <row r="18" spans="1:10" ht="14.25" customHeight="1" x14ac:dyDescent="0.3">
      <c r="A18" s="17" t="s">
        <v>71</v>
      </c>
      <c r="B18" s="18"/>
      <c r="C18" s="4">
        <v>2</v>
      </c>
      <c r="D18" s="17"/>
      <c r="F18" s="8"/>
      <c r="G18" s="9"/>
      <c r="H18" s="9"/>
      <c r="I18" s="4"/>
      <c r="J18" s="9"/>
    </row>
    <row r="19" spans="1:10" ht="14.25" customHeight="1" x14ac:dyDescent="0.3">
      <c r="A19" s="17" t="s">
        <v>79</v>
      </c>
      <c r="B19" s="18"/>
      <c r="C19" s="4">
        <v>3</v>
      </c>
      <c r="D19" s="17"/>
      <c r="F19" s="8"/>
      <c r="G19" s="9"/>
      <c r="H19" s="9"/>
      <c r="I19" s="4"/>
      <c r="J19" s="9"/>
    </row>
    <row r="20" spans="1:10" ht="14.25" customHeight="1" x14ac:dyDescent="0.3">
      <c r="A20" s="17"/>
      <c r="B20" s="18"/>
      <c r="C20" s="4"/>
      <c r="D20" s="17"/>
      <c r="F20" s="8"/>
      <c r="G20" s="9"/>
      <c r="H20" s="9"/>
      <c r="I20" s="4"/>
      <c r="J20" s="9"/>
    </row>
    <row r="21" spans="1:10" ht="14.25" customHeight="1" x14ac:dyDescent="0.3">
      <c r="A21" s="17"/>
      <c r="B21" s="18"/>
      <c r="C21" s="4"/>
      <c r="D21" s="17"/>
      <c r="F21" s="8"/>
      <c r="G21" s="9"/>
      <c r="H21" s="9"/>
      <c r="I21" s="4"/>
      <c r="J21" s="9"/>
    </row>
    <row r="22" spans="1:10" ht="14.25" customHeight="1" x14ac:dyDescent="0.3">
      <c r="A22" s="19"/>
      <c r="F22" s="8"/>
      <c r="G22" s="9"/>
      <c r="H22" s="9"/>
      <c r="I22" s="4"/>
      <c r="J22" s="9"/>
    </row>
    <row r="23" spans="1:10" ht="14.25" customHeight="1" x14ac:dyDescent="0.3">
      <c r="F23" s="8"/>
      <c r="G23" s="9"/>
      <c r="H23" s="9"/>
      <c r="I23" s="4"/>
      <c r="J23" s="9"/>
    </row>
    <row r="24" spans="1:10" ht="14.25" customHeight="1" x14ac:dyDescent="0.3">
      <c r="F24" s="8"/>
      <c r="G24" s="9"/>
      <c r="H24" s="9"/>
      <c r="I24" s="4"/>
      <c r="J24" s="9"/>
    </row>
    <row r="25" spans="1:10" ht="14.25" customHeight="1" x14ac:dyDescent="0.3">
      <c r="F25" s="8"/>
      <c r="G25" s="9"/>
      <c r="H25" s="9"/>
      <c r="I25" s="4"/>
      <c r="J25" s="9"/>
    </row>
  </sheetData>
  <mergeCells count="5">
    <mergeCell ref="A12:D12"/>
    <mergeCell ref="F3:I3"/>
    <mergeCell ref="A3:D3"/>
    <mergeCell ref="F12:I12"/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4C69D"/>
  </sheetPr>
  <dimension ref="A1:D14"/>
  <sheetViews>
    <sheetView showGridLines="0" zoomScaleNormal="100" workbookViewId="0">
      <selection sqref="A1:D1"/>
    </sheetView>
  </sheetViews>
  <sheetFormatPr baseColWidth="10" defaultColWidth="8.6640625" defaultRowHeight="14.4" x14ac:dyDescent="0.3"/>
  <cols>
    <col min="1" max="1" width="14" customWidth="1"/>
    <col min="2" max="2" width="16" customWidth="1"/>
    <col min="3" max="3" width="18" customWidth="1"/>
    <col min="4" max="4" width="50" customWidth="1"/>
  </cols>
  <sheetData>
    <row r="1" spans="1:4" ht="27.75" customHeight="1" x14ac:dyDescent="0.3">
      <c r="A1" s="73" t="s">
        <v>80</v>
      </c>
      <c r="B1" s="64"/>
      <c r="C1" s="64"/>
      <c r="D1" s="64"/>
    </row>
    <row r="2" spans="1:4" ht="30" customHeight="1" x14ac:dyDescent="0.3">
      <c r="A2" s="74" t="s">
        <v>81</v>
      </c>
      <c r="B2" s="64"/>
      <c r="C2" s="64"/>
      <c r="D2" s="64"/>
    </row>
    <row r="4" spans="1:4" ht="24" customHeight="1" x14ac:dyDescent="0.3">
      <c r="A4" s="1" t="s">
        <v>82</v>
      </c>
      <c r="B4" s="1" t="s">
        <v>83</v>
      </c>
      <c r="C4" s="1" t="s">
        <v>84</v>
      </c>
      <c r="D4" s="1" t="s">
        <v>85</v>
      </c>
    </row>
    <row r="5" spans="1:4" ht="15" customHeight="1" x14ac:dyDescent="0.3">
      <c r="A5" s="20" t="s">
        <v>86</v>
      </c>
      <c r="B5" s="21">
        <v>46197</v>
      </c>
      <c r="C5" s="22" t="s">
        <v>87</v>
      </c>
      <c r="D5" s="23" t="s">
        <v>88</v>
      </c>
    </row>
    <row r="6" spans="1:4" ht="15" customHeight="1" x14ac:dyDescent="0.3">
      <c r="A6" s="20" t="s">
        <v>89</v>
      </c>
      <c r="B6" s="21">
        <v>46214</v>
      </c>
      <c r="C6" s="22" t="s">
        <v>90</v>
      </c>
      <c r="D6" s="23" t="s">
        <v>91</v>
      </c>
    </row>
    <row r="7" spans="1:4" ht="15" customHeight="1" x14ac:dyDescent="0.3">
      <c r="A7" s="20" t="s">
        <v>92</v>
      </c>
      <c r="B7" s="21">
        <v>46221</v>
      </c>
      <c r="C7" s="22" t="s">
        <v>90</v>
      </c>
      <c r="D7" s="23" t="s">
        <v>93</v>
      </c>
    </row>
    <row r="8" spans="1:4" ht="15" customHeight="1" x14ac:dyDescent="0.3">
      <c r="A8" s="20" t="s">
        <v>94</v>
      </c>
      <c r="B8" s="21">
        <v>46234</v>
      </c>
      <c r="C8" s="22" t="s">
        <v>90</v>
      </c>
      <c r="D8" s="23" t="s">
        <v>95</v>
      </c>
    </row>
    <row r="9" spans="1:4" ht="15" customHeight="1" x14ac:dyDescent="0.3">
      <c r="A9" s="20" t="s">
        <v>96</v>
      </c>
      <c r="B9" s="21">
        <v>46240</v>
      </c>
      <c r="C9" s="22" t="s">
        <v>97</v>
      </c>
      <c r="D9" s="23" t="s">
        <v>98</v>
      </c>
    </row>
    <row r="10" spans="1:4" ht="15" customHeight="1" x14ac:dyDescent="0.3">
      <c r="A10" s="20" t="s">
        <v>99</v>
      </c>
      <c r="B10" s="21">
        <v>46252</v>
      </c>
      <c r="C10" s="22" t="s">
        <v>97</v>
      </c>
      <c r="D10" s="23" t="s">
        <v>100</v>
      </c>
    </row>
    <row r="11" spans="1:4" ht="15" customHeight="1" x14ac:dyDescent="0.3">
      <c r="A11" s="20" t="s">
        <v>101</v>
      </c>
      <c r="B11" s="21">
        <v>46253</v>
      </c>
      <c r="C11" s="22" t="s">
        <v>97</v>
      </c>
      <c r="D11" s="23" t="s">
        <v>102</v>
      </c>
    </row>
    <row r="12" spans="1:4" ht="15" customHeight="1" x14ac:dyDescent="0.3">
      <c r="A12" s="20" t="s">
        <v>103</v>
      </c>
      <c r="B12" s="21">
        <v>46262</v>
      </c>
      <c r="C12" s="22" t="s">
        <v>97</v>
      </c>
      <c r="D12" s="23" t="s">
        <v>104</v>
      </c>
    </row>
    <row r="13" spans="1:4" ht="15" customHeight="1" x14ac:dyDescent="0.3">
      <c r="A13" s="20" t="s">
        <v>105</v>
      </c>
      <c r="B13" s="21">
        <v>46272</v>
      </c>
      <c r="C13" s="22" t="s">
        <v>106</v>
      </c>
      <c r="D13" s="23" t="s">
        <v>107</v>
      </c>
    </row>
    <row r="14" spans="1:4" ht="15" customHeight="1" x14ac:dyDescent="0.3">
      <c r="A14" s="20" t="s">
        <v>108</v>
      </c>
      <c r="B14" s="21">
        <v>46276</v>
      </c>
      <c r="C14" s="22" t="s">
        <v>106</v>
      </c>
      <c r="D14" s="23" t="s">
        <v>109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B4332"/>
  </sheetPr>
  <dimension ref="A1:N107"/>
  <sheetViews>
    <sheetView showGridLines="0" tabSelected="1" topLeftCell="A8" zoomScaleNormal="100" workbookViewId="0">
      <selection activeCell="A23" sqref="A23"/>
    </sheetView>
  </sheetViews>
  <sheetFormatPr baseColWidth="10" defaultColWidth="8.6640625" defaultRowHeight="14.4" x14ac:dyDescent="0.3"/>
  <cols>
    <col min="1" max="1" width="22" customWidth="1"/>
    <col min="2" max="2" width="8" customWidth="1"/>
    <col min="3" max="3" width="16" customWidth="1"/>
    <col min="4" max="4" width="2" customWidth="1"/>
    <col min="5" max="5" width="14" customWidth="1"/>
    <col min="6" max="6" width="16" customWidth="1"/>
    <col min="8" max="8" width="14" customWidth="1"/>
    <col min="9" max="9" width="8" customWidth="1"/>
    <col min="10" max="12" width="10" customWidth="1"/>
    <col min="13" max="13" width="13" customWidth="1"/>
    <col min="14" max="14" width="20" customWidth="1"/>
    <col min="16" max="16" width="15.5546875" customWidth="1"/>
  </cols>
  <sheetData>
    <row r="1" spans="1:14" ht="30" customHeight="1" x14ac:dyDescent="0.3">
      <c r="A1" s="66" t="s">
        <v>110</v>
      </c>
      <c r="B1" s="64"/>
      <c r="C1" s="64"/>
      <c r="D1" s="64"/>
      <c r="E1" s="64"/>
      <c r="F1" s="64"/>
      <c r="H1" s="63" t="s">
        <v>1</v>
      </c>
      <c r="I1" s="64"/>
      <c r="J1" s="64"/>
      <c r="K1" s="64"/>
      <c r="L1" s="64"/>
      <c r="M1" s="64"/>
    </row>
    <row r="2" spans="1:14" ht="24" customHeight="1" x14ac:dyDescent="0.3">
      <c r="H2" s="7" t="s">
        <v>2</v>
      </c>
      <c r="I2" s="7" t="s">
        <v>3</v>
      </c>
      <c r="J2" s="7" t="s">
        <v>4</v>
      </c>
      <c r="K2" s="7" t="s">
        <v>5</v>
      </c>
      <c r="L2" s="7" t="s">
        <v>6</v>
      </c>
      <c r="M2" s="1" t="s">
        <v>7</v>
      </c>
      <c r="N2" s="7" t="s">
        <v>8</v>
      </c>
    </row>
    <row r="3" spans="1:14" ht="19.5" customHeight="1" x14ac:dyDescent="0.3">
      <c r="A3" s="65" t="s">
        <v>9</v>
      </c>
      <c r="B3" s="62"/>
      <c r="C3" s="62"/>
      <c r="D3" s="62"/>
      <c r="E3" s="62"/>
      <c r="F3" s="62"/>
      <c r="H3" s="8">
        <v>46183</v>
      </c>
      <c r="I3" s="9">
        <v>5.9</v>
      </c>
      <c r="J3" s="9">
        <v>1700</v>
      </c>
      <c r="K3" s="9"/>
      <c r="L3" s="9"/>
      <c r="M3" s="4"/>
      <c r="N3" s="9"/>
    </row>
    <row r="4" spans="1:14" ht="14.25" customHeight="1" x14ac:dyDescent="0.3">
      <c r="A4" s="24" t="s">
        <v>13</v>
      </c>
      <c r="B4" s="25">
        <v>21</v>
      </c>
      <c r="C4" s="26">
        <v>46122</v>
      </c>
      <c r="H4" s="8">
        <v>46184</v>
      </c>
      <c r="I4" s="9">
        <v>6</v>
      </c>
      <c r="J4" s="9">
        <v>1850</v>
      </c>
      <c r="K4" s="9"/>
      <c r="L4" s="9"/>
      <c r="M4" s="4"/>
      <c r="N4" s="9"/>
    </row>
    <row r="5" spans="1:14" ht="14.25" customHeight="1" x14ac:dyDescent="0.3">
      <c r="A5" s="24" t="s">
        <v>14</v>
      </c>
      <c r="B5" s="25">
        <v>14</v>
      </c>
      <c r="C5" s="26">
        <f t="shared" ref="C5:C12" si="0">IF(C4="","",C4+B4)</f>
        <v>46143</v>
      </c>
      <c r="H5" s="8"/>
      <c r="I5" s="9"/>
      <c r="J5" s="9"/>
      <c r="K5" s="9"/>
      <c r="L5" s="9"/>
      <c r="M5" s="4"/>
      <c r="N5" s="9"/>
    </row>
    <row r="6" spans="1:14" ht="14.25" customHeight="1" x14ac:dyDescent="0.3">
      <c r="A6" s="24" t="s">
        <v>15</v>
      </c>
      <c r="B6" s="25">
        <v>14</v>
      </c>
      <c r="C6" s="26">
        <f t="shared" si="0"/>
        <v>46157</v>
      </c>
      <c r="H6" s="8"/>
      <c r="I6" s="9"/>
      <c r="J6" s="9"/>
      <c r="K6" s="9"/>
      <c r="L6" s="9"/>
      <c r="M6" s="4"/>
      <c r="N6" s="9"/>
    </row>
    <row r="7" spans="1:14" ht="14.25" customHeight="1" x14ac:dyDescent="0.3">
      <c r="A7" s="24" t="s">
        <v>16</v>
      </c>
      <c r="B7" s="25">
        <v>16</v>
      </c>
      <c r="C7" s="26">
        <f t="shared" si="0"/>
        <v>46171</v>
      </c>
      <c r="H7" s="8"/>
      <c r="I7" s="9"/>
      <c r="J7" s="9"/>
      <c r="K7" s="9"/>
      <c r="L7" s="9"/>
      <c r="M7" s="4"/>
      <c r="N7" s="9"/>
    </row>
    <row r="8" spans="1:14" ht="14.25" customHeight="1" x14ac:dyDescent="0.3">
      <c r="A8" s="27" t="s">
        <v>17</v>
      </c>
      <c r="B8" s="28">
        <v>63</v>
      </c>
      <c r="C8" s="29">
        <f t="shared" si="0"/>
        <v>46187</v>
      </c>
      <c r="H8" s="8"/>
      <c r="I8" s="9"/>
      <c r="J8" s="9"/>
      <c r="K8" s="9"/>
      <c r="L8" s="9"/>
      <c r="M8" s="4"/>
      <c r="N8" s="9"/>
    </row>
    <row r="9" spans="1:14" ht="14.25" customHeight="1" x14ac:dyDescent="0.3">
      <c r="A9" s="30" t="s">
        <v>18</v>
      </c>
      <c r="B9" s="31">
        <v>2</v>
      </c>
      <c r="C9" s="32">
        <f t="shared" si="0"/>
        <v>46250</v>
      </c>
      <c r="H9" s="8"/>
      <c r="I9" s="9"/>
      <c r="J9" s="9"/>
      <c r="K9" s="9"/>
      <c r="L9" s="9"/>
      <c r="M9" s="4"/>
      <c r="N9" s="9"/>
    </row>
    <row r="10" spans="1:14" ht="14.25" customHeight="1" x14ac:dyDescent="0.3">
      <c r="A10" s="27" t="s">
        <v>19</v>
      </c>
      <c r="B10" s="28">
        <v>7</v>
      </c>
      <c r="C10" s="29">
        <f t="shared" si="0"/>
        <v>46252</v>
      </c>
      <c r="H10" s="8"/>
      <c r="I10" s="9"/>
      <c r="J10" s="9"/>
      <c r="K10" s="9"/>
      <c r="L10" s="9"/>
      <c r="M10" s="4"/>
      <c r="N10" s="9"/>
    </row>
    <row r="11" spans="1:14" ht="14.25" customHeight="1" x14ac:dyDescent="0.3">
      <c r="A11" s="30" t="s">
        <v>20</v>
      </c>
      <c r="B11" s="31">
        <v>3</v>
      </c>
      <c r="C11" s="32">
        <f t="shared" si="0"/>
        <v>46259</v>
      </c>
      <c r="H11" s="8"/>
      <c r="I11" s="9"/>
      <c r="J11" s="9"/>
      <c r="K11" s="9"/>
      <c r="L11" s="9"/>
      <c r="M11" s="4"/>
      <c r="N11" s="9"/>
    </row>
    <row r="12" spans="1:14" ht="14.25" customHeight="1" x14ac:dyDescent="0.3">
      <c r="A12" s="27" t="s">
        <v>21</v>
      </c>
      <c r="B12" s="28"/>
      <c r="C12" s="33">
        <f t="shared" si="0"/>
        <v>46262</v>
      </c>
      <c r="H12" s="8"/>
      <c r="I12" s="9"/>
      <c r="J12" s="9"/>
      <c r="K12" s="9"/>
      <c r="L12" s="9"/>
      <c r="M12" s="4"/>
      <c r="N12" s="9"/>
    </row>
    <row r="13" spans="1:14" ht="14.25" customHeight="1" x14ac:dyDescent="0.3">
      <c r="A13" s="24"/>
      <c r="B13" s="25"/>
      <c r="C13" s="26"/>
      <c r="H13" s="8"/>
      <c r="I13" s="9"/>
      <c r="J13" s="9"/>
      <c r="K13" s="9"/>
      <c r="L13" s="9"/>
      <c r="M13" s="4"/>
      <c r="N13" s="9"/>
    </row>
    <row r="14" spans="1:14" ht="14.25" customHeight="1" x14ac:dyDescent="0.3">
      <c r="A14" s="34"/>
      <c r="B14" s="34"/>
      <c r="C14" s="34"/>
      <c r="H14" s="8"/>
      <c r="I14" s="9"/>
      <c r="J14" s="9"/>
      <c r="K14" s="9"/>
      <c r="L14" s="9"/>
      <c r="M14" s="4"/>
      <c r="N14" s="9"/>
    </row>
    <row r="15" spans="1:14" ht="14.25" customHeight="1" x14ac:dyDescent="0.3">
      <c r="A15" s="35" t="s">
        <v>22</v>
      </c>
      <c r="B15" s="36" t="s">
        <v>23</v>
      </c>
      <c r="C15" s="34"/>
      <c r="H15" s="8"/>
      <c r="I15" s="9"/>
      <c r="J15" s="9"/>
      <c r="K15" s="9"/>
      <c r="L15" s="9"/>
      <c r="M15" s="4"/>
      <c r="N15" s="9"/>
    </row>
    <row r="16" spans="1:14" ht="14.25" customHeight="1" x14ac:dyDescent="0.3">
      <c r="A16" s="17" t="s">
        <v>111</v>
      </c>
      <c r="B16" s="4">
        <v>28</v>
      </c>
      <c r="C16" s="34"/>
      <c r="H16" s="8"/>
      <c r="I16" s="9"/>
      <c r="J16" s="9"/>
      <c r="K16" s="9"/>
      <c r="L16" s="9"/>
      <c r="M16" s="4"/>
      <c r="N16" s="9"/>
    </row>
    <row r="17" spans="1:14" ht="14.25" customHeight="1" x14ac:dyDescent="0.3">
      <c r="A17" s="17" t="s">
        <v>68</v>
      </c>
      <c r="B17" s="4">
        <v>44</v>
      </c>
      <c r="C17" s="34"/>
      <c r="H17" s="8"/>
      <c r="I17" s="9"/>
      <c r="J17" s="9"/>
      <c r="K17" s="9"/>
      <c r="L17" s="9"/>
      <c r="M17" s="4"/>
      <c r="N17" s="9"/>
    </row>
    <row r="18" spans="1:14" ht="14.25" customHeight="1" x14ac:dyDescent="0.3">
      <c r="A18" s="37" t="s">
        <v>29</v>
      </c>
      <c r="B18" s="10">
        <f>SUM(B16:B17)</f>
        <v>72</v>
      </c>
      <c r="C18" s="34"/>
      <c r="H18" s="8"/>
      <c r="I18" s="9"/>
      <c r="J18" s="9"/>
      <c r="K18" s="9"/>
      <c r="L18" s="9"/>
      <c r="M18" s="4"/>
      <c r="N18" s="9"/>
    </row>
    <row r="19" spans="1:14" ht="14.25" customHeight="1" x14ac:dyDescent="0.3">
      <c r="A19" s="34"/>
      <c r="B19" s="34"/>
      <c r="C19" s="34"/>
      <c r="H19" s="8"/>
      <c r="I19" s="9"/>
      <c r="J19" s="9"/>
      <c r="K19" s="9"/>
      <c r="L19" s="9"/>
      <c r="M19" s="4"/>
      <c r="N19" s="9"/>
    </row>
    <row r="20" spans="1:14" ht="14.25" customHeight="1" x14ac:dyDescent="0.3">
      <c r="A20" s="61" t="s">
        <v>30</v>
      </c>
      <c r="B20" s="62"/>
      <c r="C20" s="62"/>
      <c r="D20" s="62"/>
      <c r="E20" s="62"/>
      <c r="F20" s="62"/>
      <c r="H20" s="8"/>
      <c r="I20" s="9"/>
      <c r="J20" s="9"/>
      <c r="K20" s="9"/>
      <c r="L20" s="9"/>
      <c r="M20" s="4"/>
      <c r="N20" s="9"/>
    </row>
    <row r="21" spans="1:14" ht="39.75" customHeight="1" x14ac:dyDescent="0.3">
      <c r="A21" s="57" t="s">
        <v>155</v>
      </c>
      <c r="B21" s="58"/>
      <c r="C21" s="58"/>
      <c r="D21" s="58"/>
      <c r="E21" s="58"/>
      <c r="F21" s="58"/>
      <c r="H21" s="8"/>
      <c r="I21" s="9"/>
      <c r="J21" s="9"/>
      <c r="K21" s="9"/>
      <c r="L21" s="9"/>
      <c r="M21" s="4"/>
      <c r="N21" s="9"/>
    </row>
    <row r="22" spans="1:14" ht="14.25" customHeight="1" x14ac:dyDescent="0.3">
      <c r="A22" s="59"/>
      <c r="B22" s="60"/>
      <c r="C22" s="60"/>
      <c r="D22" s="60"/>
      <c r="E22" s="60"/>
      <c r="F22" s="60"/>
      <c r="H22" s="8"/>
      <c r="I22" s="9"/>
      <c r="J22" s="9"/>
      <c r="K22" s="9"/>
      <c r="L22" s="9"/>
      <c r="M22" s="4"/>
      <c r="N22" s="9"/>
    </row>
    <row r="23" spans="1:14" ht="14.25" customHeight="1" x14ac:dyDescent="0.3">
      <c r="A23" s="34"/>
      <c r="B23" s="34"/>
      <c r="C23" s="34"/>
      <c r="H23" s="8"/>
      <c r="I23" s="9"/>
      <c r="J23" s="9"/>
      <c r="K23" s="9"/>
      <c r="L23" s="9"/>
      <c r="M23" s="4"/>
      <c r="N23" s="9"/>
    </row>
    <row r="24" spans="1:14" ht="19.5" customHeight="1" x14ac:dyDescent="0.3">
      <c r="A24" s="65" t="s">
        <v>31</v>
      </c>
      <c r="B24" s="62"/>
      <c r="C24" s="62"/>
      <c r="D24" s="62"/>
      <c r="E24" s="62"/>
      <c r="F24" s="62"/>
      <c r="H24" s="8"/>
      <c r="I24" s="9"/>
      <c r="J24" s="9"/>
      <c r="K24" s="9"/>
      <c r="L24" s="9"/>
      <c r="M24" s="4"/>
      <c r="N24" s="9"/>
    </row>
    <row r="25" spans="1:14" ht="14.25" customHeight="1" x14ac:dyDescent="0.3">
      <c r="A25" s="10" t="s">
        <v>10</v>
      </c>
      <c r="B25" s="10" t="s">
        <v>11</v>
      </c>
      <c r="C25" s="10" t="s">
        <v>12</v>
      </c>
      <c r="H25" s="8"/>
      <c r="I25" s="9"/>
      <c r="J25" s="9"/>
      <c r="K25" s="9"/>
      <c r="L25" s="9"/>
      <c r="M25" s="4"/>
      <c r="N25" s="9"/>
    </row>
    <row r="26" spans="1:14" ht="14.25" customHeight="1" x14ac:dyDescent="0.3">
      <c r="A26" s="27" t="s">
        <v>13</v>
      </c>
      <c r="B26" s="28">
        <v>21</v>
      </c>
      <c r="C26" s="38"/>
      <c r="H26" s="8"/>
      <c r="I26" s="9"/>
      <c r="J26" s="9"/>
      <c r="K26" s="9"/>
      <c r="L26" s="9"/>
      <c r="M26" s="4"/>
      <c r="N26" s="9"/>
    </row>
    <row r="27" spans="1:14" ht="14.25" customHeight="1" x14ac:dyDescent="0.3">
      <c r="A27" s="30" t="s">
        <v>14</v>
      </c>
      <c r="B27" s="31">
        <v>14</v>
      </c>
      <c r="C27" s="39"/>
      <c r="H27" s="8"/>
      <c r="I27" s="9"/>
      <c r="J27" s="9"/>
      <c r="K27" s="9"/>
      <c r="L27" s="9"/>
      <c r="M27" s="4"/>
      <c r="N27" s="9"/>
    </row>
    <row r="28" spans="1:14" ht="14.25" customHeight="1" x14ac:dyDescent="0.3">
      <c r="A28" s="27" t="s">
        <v>15</v>
      </c>
      <c r="B28" s="28">
        <v>14</v>
      </c>
      <c r="C28" s="38"/>
    </row>
    <row r="29" spans="1:14" ht="14.25" customHeight="1" x14ac:dyDescent="0.3">
      <c r="A29" s="30" t="s">
        <v>16</v>
      </c>
      <c r="B29" s="31">
        <v>16</v>
      </c>
      <c r="C29" s="39">
        <f>C11+1</f>
        <v>46260</v>
      </c>
    </row>
    <row r="30" spans="1:14" ht="14.25" customHeight="1" x14ac:dyDescent="0.3">
      <c r="A30" s="27" t="s">
        <v>17</v>
      </c>
      <c r="B30" s="28">
        <v>63</v>
      </c>
      <c r="C30" s="38">
        <f>IF(C29="","",C29+B29)</f>
        <v>46276</v>
      </c>
    </row>
    <row r="31" spans="1:14" ht="14.25" customHeight="1" x14ac:dyDescent="0.3">
      <c r="A31" s="30" t="s">
        <v>18</v>
      </c>
      <c r="B31" s="31">
        <v>2</v>
      </c>
      <c r="C31" s="39">
        <f>IF(C30="","",C30+B30)</f>
        <v>46339</v>
      </c>
    </row>
    <row r="32" spans="1:14" ht="14.25" customHeight="1" x14ac:dyDescent="0.3">
      <c r="A32" s="27" t="s">
        <v>19</v>
      </c>
      <c r="B32" s="28">
        <v>7</v>
      </c>
      <c r="C32" s="38">
        <f>IF(C31="","",C31+B31)</f>
        <v>46341</v>
      </c>
    </row>
    <row r="33" spans="1:6" ht="14.25" customHeight="1" x14ac:dyDescent="0.3">
      <c r="A33" s="30" t="s">
        <v>20</v>
      </c>
      <c r="B33" s="31">
        <v>3</v>
      </c>
      <c r="C33" s="39">
        <f>IF(C32="","",C32+B32)</f>
        <v>46348</v>
      </c>
    </row>
    <row r="34" spans="1:6" ht="14.25" customHeight="1" x14ac:dyDescent="0.3">
      <c r="A34" s="27" t="s">
        <v>21</v>
      </c>
      <c r="B34" s="28"/>
      <c r="C34" s="38">
        <f>IF(C33="","",C33+B33)</f>
        <v>46351</v>
      </c>
    </row>
    <row r="35" spans="1:6" ht="14.25" customHeight="1" x14ac:dyDescent="0.3">
      <c r="A35" s="34"/>
      <c r="B35" s="34"/>
      <c r="C35" s="34"/>
    </row>
    <row r="36" spans="1:6" ht="14.25" customHeight="1" x14ac:dyDescent="0.3">
      <c r="A36" s="35" t="s">
        <v>22</v>
      </c>
      <c r="B36" s="36" t="s">
        <v>23</v>
      </c>
      <c r="C36" s="34"/>
    </row>
    <row r="37" spans="1:6" ht="14.25" customHeight="1" x14ac:dyDescent="0.3">
      <c r="A37" s="17"/>
      <c r="B37" s="4"/>
      <c r="C37" s="34"/>
    </row>
    <row r="38" spans="1:6" ht="14.25" customHeight="1" x14ac:dyDescent="0.3">
      <c r="A38" s="17"/>
      <c r="B38" s="4"/>
      <c r="C38" s="34"/>
    </row>
    <row r="39" spans="1:6" ht="14.25" customHeight="1" x14ac:dyDescent="0.3">
      <c r="A39" s="37" t="s">
        <v>29</v>
      </c>
      <c r="B39" s="10">
        <f>SUM(B37:B38)</f>
        <v>0</v>
      </c>
      <c r="C39" s="34"/>
    </row>
    <row r="40" spans="1:6" ht="14.25" customHeight="1" x14ac:dyDescent="0.3">
      <c r="A40" s="34"/>
      <c r="B40" s="34"/>
      <c r="C40" s="34"/>
    </row>
    <row r="41" spans="1:6" ht="14.25" customHeight="1" x14ac:dyDescent="0.3">
      <c r="A41" s="61" t="s">
        <v>30</v>
      </c>
      <c r="B41" s="62"/>
      <c r="C41" s="62"/>
      <c r="D41" s="62"/>
      <c r="E41" s="62"/>
      <c r="F41" s="62"/>
    </row>
    <row r="42" spans="1:6" ht="76.5" customHeight="1" x14ac:dyDescent="0.3">
      <c r="A42" s="57"/>
      <c r="B42" s="58"/>
      <c r="C42" s="58"/>
      <c r="D42" s="58"/>
      <c r="E42" s="58"/>
      <c r="F42" s="58"/>
    </row>
    <row r="43" spans="1:6" ht="14.25" customHeight="1" x14ac:dyDescent="0.3">
      <c r="A43" s="59"/>
      <c r="B43" s="60"/>
      <c r="C43" s="60"/>
      <c r="D43" s="60"/>
      <c r="E43" s="60"/>
      <c r="F43" s="60"/>
    </row>
    <row r="44" spans="1:6" ht="14.25" customHeight="1" x14ac:dyDescent="0.3">
      <c r="A44" s="34"/>
      <c r="B44" s="34"/>
      <c r="C44" s="34"/>
    </row>
    <row r="45" spans="1:6" ht="19.5" customHeight="1" x14ac:dyDescent="0.3">
      <c r="A45" s="65" t="s">
        <v>32</v>
      </c>
      <c r="B45" s="62"/>
      <c r="C45" s="62"/>
      <c r="D45" s="62"/>
      <c r="E45" s="62"/>
      <c r="F45" s="62"/>
    </row>
    <row r="46" spans="1:6" ht="14.25" customHeight="1" x14ac:dyDescent="0.3">
      <c r="A46" s="10" t="s">
        <v>10</v>
      </c>
      <c r="B46" s="10" t="s">
        <v>11</v>
      </c>
      <c r="C46" s="10" t="s">
        <v>12</v>
      </c>
    </row>
    <row r="47" spans="1:6" ht="14.25" customHeight="1" x14ac:dyDescent="0.3">
      <c r="A47" s="27" t="s">
        <v>13</v>
      </c>
      <c r="B47" s="28">
        <v>21</v>
      </c>
      <c r="C47" s="18"/>
    </row>
    <row r="48" spans="1:6" ht="14.25" customHeight="1" x14ac:dyDescent="0.3">
      <c r="A48" s="30" t="s">
        <v>14</v>
      </c>
      <c r="B48" s="31">
        <v>14</v>
      </c>
      <c r="C48" s="32"/>
    </row>
    <row r="49" spans="1:6" ht="14.25" customHeight="1" x14ac:dyDescent="0.3">
      <c r="A49" s="27" t="s">
        <v>15</v>
      </c>
      <c r="B49" s="28">
        <v>14</v>
      </c>
      <c r="C49" s="29"/>
    </row>
    <row r="50" spans="1:6" ht="14.25" customHeight="1" x14ac:dyDescent="0.3">
      <c r="A50" s="30" t="s">
        <v>16</v>
      </c>
      <c r="B50" s="31">
        <v>16</v>
      </c>
      <c r="C50" s="39">
        <f>C33+1</f>
        <v>46349</v>
      </c>
    </row>
    <row r="51" spans="1:6" ht="14.25" customHeight="1" x14ac:dyDescent="0.3">
      <c r="A51" s="27" t="s">
        <v>17</v>
      </c>
      <c r="B51" s="28">
        <v>63</v>
      </c>
      <c r="C51" s="29">
        <f>IF(C50="","",C50+B50)</f>
        <v>46365</v>
      </c>
    </row>
    <row r="52" spans="1:6" ht="14.25" customHeight="1" x14ac:dyDescent="0.3">
      <c r="A52" s="30" t="s">
        <v>18</v>
      </c>
      <c r="B52" s="31">
        <v>1</v>
      </c>
      <c r="C52" s="32">
        <f>IF(C51="","",C51+B51)</f>
        <v>46428</v>
      </c>
    </row>
    <row r="53" spans="1:6" ht="14.25" customHeight="1" x14ac:dyDescent="0.3">
      <c r="A53" s="27" t="s">
        <v>19</v>
      </c>
      <c r="B53" s="28">
        <v>7</v>
      </c>
      <c r="C53" s="29">
        <f>IF(C52="","",C52+B52)</f>
        <v>46429</v>
      </c>
    </row>
    <row r="54" spans="1:6" ht="14.25" customHeight="1" x14ac:dyDescent="0.3">
      <c r="A54" s="30" t="s">
        <v>20</v>
      </c>
      <c r="B54" s="31">
        <v>3</v>
      </c>
      <c r="C54" s="32">
        <f>IF(C53="","",C53+B53)</f>
        <v>46436</v>
      </c>
    </row>
    <row r="55" spans="1:6" ht="14.25" customHeight="1" x14ac:dyDescent="0.3">
      <c r="A55" s="27" t="s">
        <v>21</v>
      </c>
      <c r="B55" s="28"/>
      <c r="C55" s="33">
        <f>IF(C54="","",C54+B54)</f>
        <v>46439</v>
      </c>
    </row>
    <row r="56" spans="1:6" ht="14.25" customHeight="1" x14ac:dyDescent="0.3">
      <c r="A56" s="34"/>
      <c r="B56" s="34"/>
      <c r="C56" s="34"/>
    </row>
    <row r="57" spans="1:6" ht="14.25" customHeight="1" x14ac:dyDescent="0.3">
      <c r="A57" s="35" t="s">
        <v>22</v>
      </c>
      <c r="B57" s="36" t="s">
        <v>23</v>
      </c>
      <c r="C57" s="34"/>
    </row>
    <row r="58" spans="1:6" ht="14.25" customHeight="1" x14ac:dyDescent="0.3">
      <c r="A58" s="17"/>
      <c r="B58" s="4"/>
      <c r="C58" s="34"/>
    </row>
    <row r="59" spans="1:6" ht="14.25" customHeight="1" x14ac:dyDescent="0.3">
      <c r="A59" s="17"/>
      <c r="B59" s="4"/>
      <c r="C59" s="34"/>
    </row>
    <row r="60" spans="1:6" ht="14.25" customHeight="1" x14ac:dyDescent="0.3">
      <c r="A60" s="37" t="s">
        <v>29</v>
      </c>
      <c r="B60" s="10">
        <f>SUM(B58:B59)</f>
        <v>0</v>
      </c>
      <c r="C60" s="34"/>
    </row>
    <row r="61" spans="1:6" ht="14.25" customHeight="1" x14ac:dyDescent="0.3">
      <c r="A61" s="34"/>
      <c r="B61" s="34"/>
      <c r="C61" s="34"/>
    </row>
    <row r="62" spans="1:6" ht="14.25" customHeight="1" x14ac:dyDescent="0.3">
      <c r="A62" s="61" t="s">
        <v>30</v>
      </c>
      <c r="B62" s="62"/>
      <c r="C62" s="62"/>
      <c r="D62" s="62"/>
      <c r="E62" s="62"/>
      <c r="F62" s="62"/>
    </row>
    <row r="63" spans="1:6" ht="39.75" customHeight="1" x14ac:dyDescent="0.3">
      <c r="A63" s="57"/>
      <c r="B63" s="58"/>
      <c r="C63" s="58"/>
      <c r="D63" s="58"/>
      <c r="E63" s="58"/>
      <c r="F63" s="58"/>
    </row>
    <row r="64" spans="1:6" ht="14.25" customHeight="1" x14ac:dyDescent="0.3">
      <c r="A64" s="59"/>
      <c r="B64" s="60"/>
      <c r="C64" s="60"/>
      <c r="D64" s="60"/>
      <c r="E64" s="60"/>
      <c r="F64" s="60"/>
    </row>
    <row r="65" spans="1:6" ht="14.25" customHeight="1" x14ac:dyDescent="0.3">
      <c r="A65" s="34"/>
      <c r="B65" s="34"/>
      <c r="C65" s="34"/>
    </row>
    <row r="66" spans="1:6" ht="19.5" customHeight="1" x14ac:dyDescent="0.3">
      <c r="A66" s="65" t="s">
        <v>33</v>
      </c>
      <c r="B66" s="62"/>
      <c r="C66" s="62"/>
      <c r="D66" s="62"/>
      <c r="E66" s="62"/>
      <c r="F66" s="62"/>
    </row>
    <row r="67" spans="1:6" ht="14.25" customHeight="1" x14ac:dyDescent="0.3">
      <c r="A67" s="10" t="s">
        <v>10</v>
      </c>
      <c r="B67" s="10" t="s">
        <v>11</v>
      </c>
      <c r="C67" s="10" t="s">
        <v>12</v>
      </c>
    </row>
    <row r="68" spans="1:6" ht="14.25" customHeight="1" x14ac:dyDescent="0.3">
      <c r="A68" s="27" t="s">
        <v>13</v>
      </c>
      <c r="B68" s="28">
        <v>21</v>
      </c>
      <c r="C68" s="38"/>
    </row>
    <row r="69" spans="1:6" ht="14.25" customHeight="1" x14ac:dyDescent="0.3">
      <c r="A69" s="30" t="s">
        <v>14</v>
      </c>
      <c r="B69" s="31">
        <v>14</v>
      </c>
      <c r="C69" s="39"/>
    </row>
    <row r="70" spans="1:6" ht="14.25" customHeight="1" x14ac:dyDescent="0.3">
      <c r="A70" s="27" t="s">
        <v>15</v>
      </c>
      <c r="B70" s="28">
        <v>14</v>
      </c>
      <c r="C70" s="38"/>
    </row>
    <row r="71" spans="1:6" ht="14.25" customHeight="1" x14ac:dyDescent="0.3">
      <c r="A71" s="30" t="s">
        <v>16</v>
      </c>
      <c r="B71" s="31">
        <v>16</v>
      </c>
      <c r="C71" s="39">
        <f>C54+1</f>
        <v>46437</v>
      </c>
    </row>
    <row r="72" spans="1:6" ht="14.25" customHeight="1" x14ac:dyDescent="0.3">
      <c r="A72" s="27" t="s">
        <v>17</v>
      </c>
      <c r="B72" s="28">
        <v>63</v>
      </c>
      <c r="C72" s="38">
        <f>IF(C71="","",C71+B71)</f>
        <v>46453</v>
      </c>
    </row>
    <row r="73" spans="1:6" ht="14.25" customHeight="1" x14ac:dyDescent="0.3">
      <c r="A73" s="30" t="s">
        <v>18</v>
      </c>
      <c r="B73" s="31">
        <v>2</v>
      </c>
      <c r="C73" s="39">
        <f>IF(C72="","",C72+B72)</f>
        <v>46516</v>
      </c>
    </row>
    <row r="74" spans="1:6" ht="14.25" customHeight="1" x14ac:dyDescent="0.3">
      <c r="A74" s="27" t="s">
        <v>19</v>
      </c>
      <c r="B74" s="28">
        <v>7</v>
      </c>
      <c r="C74" s="38">
        <f>IF(C73="","",C73+B73)</f>
        <v>46518</v>
      </c>
    </row>
    <row r="75" spans="1:6" ht="14.25" customHeight="1" x14ac:dyDescent="0.3">
      <c r="A75" s="30" t="s">
        <v>20</v>
      </c>
      <c r="B75" s="31">
        <v>3</v>
      </c>
      <c r="C75" s="39">
        <f>IF(C74="","",C74+B74)</f>
        <v>46525</v>
      </c>
    </row>
    <row r="76" spans="1:6" ht="14.25" customHeight="1" x14ac:dyDescent="0.3">
      <c r="A76" s="27" t="s">
        <v>21</v>
      </c>
      <c r="B76" s="28"/>
      <c r="C76" s="38">
        <f>IF(C75="","",C75+B75)</f>
        <v>46528</v>
      </c>
    </row>
    <row r="77" spans="1:6" ht="14.25" customHeight="1" x14ac:dyDescent="0.3">
      <c r="A77" s="34"/>
      <c r="B77" s="34"/>
      <c r="C77" s="34"/>
    </row>
    <row r="78" spans="1:6" ht="14.25" customHeight="1" x14ac:dyDescent="0.3">
      <c r="A78" s="35" t="s">
        <v>22</v>
      </c>
      <c r="B78" s="36" t="s">
        <v>23</v>
      </c>
      <c r="C78" s="34"/>
    </row>
    <row r="79" spans="1:6" ht="14.25" customHeight="1" x14ac:dyDescent="0.3">
      <c r="A79" s="17"/>
      <c r="B79" s="4"/>
      <c r="C79" s="34"/>
    </row>
    <row r="80" spans="1:6" ht="14.25" customHeight="1" x14ac:dyDescent="0.3">
      <c r="A80" s="17"/>
      <c r="B80" s="4"/>
      <c r="C80" s="34"/>
    </row>
    <row r="81" spans="1:6" ht="14.25" customHeight="1" x14ac:dyDescent="0.3">
      <c r="A81" s="37" t="s">
        <v>29</v>
      </c>
      <c r="B81" s="10">
        <f>SUM(B79:B80)</f>
        <v>0</v>
      </c>
      <c r="C81" s="34"/>
    </row>
    <row r="82" spans="1:6" ht="14.25" customHeight="1" x14ac:dyDescent="0.3">
      <c r="A82" s="34"/>
      <c r="B82" s="34"/>
      <c r="C82" s="34"/>
    </row>
    <row r="83" spans="1:6" ht="14.25" customHeight="1" x14ac:dyDescent="0.3">
      <c r="A83" s="61" t="s">
        <v>30</v>
      </c>
      <c r="B83" s="62"/>
      <c r="C83" s="62"/>
      <c r="D83" s="62"/>
      <c r="E83" s="62"/>
      <c r="F83" s="62"/>
    </row>
    <row r="84" spans="1:6" ht="76.5" customHeight="1" x14ac:dyDescent="0.3">
      <c r="A84" s="57"/>
      <c r="B84" s="58"/>
      <c r="C84" s="58"/>
      <c r="D84" s="58"/>
      <c r="E84" s="58"/>
      <c r="F84" s="58"/>
    </row>
    <row r="85" spans="1:6" ht="14.25" customHeight="1" x14ac:dyDescent="0.3">
      <c r="A85" s="59"/>
      <c r="B85" s="60"/>
      <c r="C85" s="60"/>
      <c r="D85" s="60"/>
      <c r="E85" s="60"/>
      <c r="F85" s="60"/>
    </row>
    <row r="86" spans="1:6" ht="14.25" customHeight="1" x14ac:dyDescent="0.3">
      <c r="A86" s="34"/>
      <c r="B86" s="34"/>
      <c r="C86" s="34"/>
    </row>
    <row r="87" spans="1:6" ht="19.5" customHeight="1" x14ac:dyDescent="0.3">
      <c r="A87" s="65" t="s">
        <v>34</v>
      </c>
      <c r="B87" s="62"/>
      <c r="C87" s="62"/>
      <c r="D87" s="62"/>
      <c r="E87" s="62"/>
      <c r="F87" s="62"/>
    </row>
    <row r="88" spans="1:6" ht="14.25" customHeight="1" x14ac:dyDescent="0.3">
      <c r="A88" s="10" t="s">
        <v>10</v>
      </c>
      <c r="B88" s="10" t="s">
        <v>11</v>
      </c>
      <c r="C88" s="10" t="s">
        <v>12</v>
      </c>
    </row>
    <row r="89" spans="1:6" ht="14.25" customHeight="1" x14ac:dyDescent="0.3">
      <c r="A89" s="27" t="s">
        <v>13</v>
      </c>
      <c r="B89" s="28">
        <v>21</v>
      </c>
      <c r="C89" s="38"/>
    </row>
    <row r="90" spans="1:6" ht="14.25" customHeight="1" x14ac:dyDescent="0.3">
      <c r="A90" s="30" t="s">
        <v>14</v>
      </c>
      <c r="B90" s="31">
        <v>14</v>
      </c>
      <c r="C90" s="39"/>
    </row>
    <row r="91" spans="1:6" ht="14.25" customHeight="1" x14ac:dyDescent="0.3">
      <c r="A91" s="27" t="s">
        <v>15</v>
      </c>
      <c r="B91" s="28">
        <v>14</v>
      </c>
      <c r="C91" s="38"/>
    </row>
    <row r="92" spans="1:6" ht="14.25" customHeight="1" x14ac:dyDescent="0.3">
      <c r="A92" s="30" t="s">
        <v>16</v>
      </c>
      <c r="B92" s="31">
        <v>16</v>
      </c>
      <c r="C92" s="39">
        <f>C75+1</f>
        <v>46526</v>
      </c>
    </row>
    <row r="93" spans="1:6" ht="14.25" customHeight="1" x14ac:dyDescent="0.3">
      <c r="A93" s="27" t="s">
        <v>17</v>
      </c>
      <c r="B93" s="28">
        <v>63</v>
      </c>
      <c r="C93" s="38">
        <f>IF(C92="","",C92+B92)</f>
        <v>46542</v>
      </c>
    </row>
    <row r="94" spans="1:6" ht="14.25" customHeight="1" x14ac:dyDescent="0.3">
      <c r="A94" s="30" t="s">
        <v>18</v>
      </c>
      <c r="B94" s="31">
        <v>2</v>
      </c>
      <c r="C94" s="39">
        <f>IF(C93="","",C93+B93)</f>
        <v>46605</v>
      </c>
    </row>
    <row r="95" spans="1:6" ht="14.25" customHeight="1" x14ac:dyDescent="0.3">
      <c r="A95" s="27" t="s">
        <v>19</v>
      </c>
      <c r="B95" s="28">
        <v>7</v>
      </c>
      <c r="C95" s="38">
        <f>IF(C94="","",C94+B94)</f>
        <v>46607</v>
      </c>
    </row>
    <row r="96" spans="1:6" ht="14.25" customHeight="1" x14ac:dyDescent="0.3">
      <c r="A96" s="30" t="s">
        <v>20</v>
      </c>
      <c r="B96" s="31">
        <v>3</v>
      </c>
      <c r="C96" s="39">
        <f>IF(C95="","",C95+B95)</f>
        <v>46614</v>
      </c>
    </row>
    <row r="97" spans="1:6" ht="14.25" customHeight="1" x14ac:dyDescent="0.3">
      <c r="A97" s="27" t="s">
        <v>21</v>
      </c>
      <c r="B97" s="28"/>
      <c r="C97" s="38">
        <f>IF(C96="","",C96+B96)</f>
        <v>46617</v>
      </c>
    </row>
    <row r="98" spans="1:6" ht="14.25" customHeight="1" x14ac:dyDescent="0.3">
      <c r="A98" s="34"/>
      <c r="B98" s="34"/>
      <c r="C98" s="34"/>
    </row>
    <row r="99" spans="1:6" ht="14.25" customHeight="1" x14ac:dyDescent="0.3">
      <c r="A99" s="35" t="s">
        <v>22</v>
      </c>
      <c r="B99" s="36" t="s">
        <v>23</v>
      </c>
      <c r="C99" s="34"/>
    </row>
    <row r="100" spans="1:6" ht="14.25" customHeight="1" x14ac:dyDescent="0.3">
      <c r="A100" s="17"/>
      <c r="B100" s="4"/>
      <c r="C100" s="34"/>
    </row>
    <row r="101" spans="1:6" ht="14.25" customHeight="1" x14ac:dyDescent="0.3">
      <c r="A101" s="17"/>
      <c r="B101" s="4"/>
      <c r="C101" s="34"/>
    </row>
    <row r="102" spans="1:6" ht="14.25" customHeight="1" x14ac:dyDescent="0.3">
      <c r="A102" s="37" t="s">
        <v>29</v>
      </c>
      <c r="B102" s="10">
        <f>SUM(B100:B101)</f>
        <v>0</v>
      </c>
      <c r="C102" s="34"/>
    </row>
    <row r="103" spans="1:6" ht="14.25" customHeight="1" x14ac:dyDescent="0.3">
      <c r="A103" s="34"/>
      <c r="B103" s="34"/>
      <c r="C103" s="34"/>
    </row>
    <row r="104" spans="1:6" ht="14.25" customHeight="1" x14ac:dyDescent="0.3">
      <c r="A104" s="61" t="s">
        <v>30</v>
      </c>
      <c r="B104" s="62"/>
      <c r="C104" s="62"/>
      <c r="D104" s="62"/>
      <c r="E104" s="62"/>
      <c r="F104" s="62"/>
    </row>
    <row r="105" spans="1:6" ht="76.5" customHeight="1" x14ac:dyDescent="0.3">
      <c r="A105" s="57"/>
      <c r="B105" s="58"/>
      <c r="C105" s="58"/>
      <c r="D105" s="58"/>
      <c r="E105" s="58"/>
      <c r="F105" s="58"/>
    </row>
    <row r="106" spans="1:6" ht="14.25" customHeight="1" x14ac:dyDescent="0.3">
      <c r="A106" s="59"/>
      <c r="B106" s="60"/>
      <c r="C106" s="60"/>
      <c r="D106" s="60"/>
      <c r="E106" s="60"/>
      <c r="F106" s="60"/>
    </row>
    <row r="107" spans="1:6" ht="14.25" customHeight="1" x14ac:dyDescent="0.3">
      <c r="A107" s="34"/>
      <c r="B107" s="34"/>
      <c r="C107" s="34"/>
    </row>
  </sheetData>
  <mergeCells count="17">
    <mergeCell ref="A84:F85"/>
    <mergeCell ref="A24:F24"/>
    <mergeCell ref="A41:F41"/>
    <mergeCell ref="H1:M1"/>
    <mergeCell ref="A105:F106"/>
    <mergeCell ref="A63:F64"/>
    <mergeCell ref="A66:F66"/>
    <mergeCell ref="A104:F104"/>
    <mergeCell ref="A1:F1"/>
    <mergeCell ref="A21:F22"/>
    <mergeCell ref="A45:F45"/>
    <mergeCell ref="A83:F83"/>
    <mergeCell ref="A62:F62"/>
    <mergeCell ref="A3:F3"/>
    <mergeCell ref="A42:F43"/>
    <mergeCell ref="A20:F20"/>
    <mergeCell ref="A87:F8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B4332"/>
  </sheetPr>
  <dimension ref="A1:N107"/>
  <sheetViews>
    <sheetView showGridLines="0" topLeftCell="A43" zoomScaleNormal="100" workbookViewId="0">
      <selection activeCell="P3" sqref="P3"/>
    </sheetView>
  </sheetViews>
  <sheetFormatPr baseColWidth="10" defaultColWidth="8.6640625" defaultRowHeight="14.4" x14ac:dyDescent="0.3"/>
  <cols>
    <col min="1" max="1" width="22" customWidth="1"/>
    <col min="2" max="2" width="8" customWidth="1"/>
    <col min="3" max="3" width="16" customWidth="1"/>
    <col min="4" max="4" width="2" customWidth="1"/>
    <col min="5" max="5" width="14" customWidth="1"/>
    <col min="6" max="6" width="16" customWidth="1"/>
    <col min="8" max="8" width="14" customWidth="1"/>
    <col min="9" max="9" width="8" customWidth="1"/>
    <col min="10" max="12" width="10" customWidth="1"/>
    <col min="13" max="13" width="13" customWidth="1"/>
    <col min="14" max="14" width="20" customWidth="1"/>
  </cols>
  <sheetData>
    <row r="1" spans="1:14" ht="30" customHeight="1" x14ac:dyDescent="0.3">
      <c r="A1" s="66" t="s">
        <v>112</v>
      </c>
      <c r="B1" s="64"/>
      <c r="C1" s="64"/>
      <c r="D1" s="64"/>
      <c r="E1" s="64"/>
      <c r="F1" s="64"/>
      <c r="H1" s="63" t="s">
        <v>1</v>
      </c>
      <c r="I1" s="64"/>
      <c r="J1" s="64"/>
      <c r="K1" s="64"/>
      <c r="L1" s="64"/>
      <c r="M1" s="64"/>
    </row>
    <row r="2" spans="1:14" ht="24" customHeight="1" x14ac:dyDescent="0.3">
      <c r="H2" s="7" t="s">
        <v>2</v>
      </c>
      <c r="I2" s="7" t="s">
        <v>3</v>
      </c>
      <c r="J2" s="7" t="s">
        <v>4</v>
      </c>
      <c r="K2" s="7" t="s">
        <v>5</v>
      </c>
      <c r="L2" s="7" t="s">
        <v>6</v>
      </c>
      <c r="M2" s="1" t="s">
        <v>7</v>
      </c>
      <c r="N2" s="7" t="s">
        <v>8</v>
      </c>
    </row>
    <row r="3" spans="1:14" ht="19.5" customHeight="1" x14ac:dyDescent="0.3">
      <c r="A3" s="65" t="s">
        <v>9</v>
      </c>
      <c r="B3" s="62"/>
      <c r="C3" s="62"/>
      <c r="D3" s="62"/>
      <c r="E3" s="62"/>
      <c r="F3" s="62"/>
      <c r="H3" s="8">
        <v>46184</v>
      </c>
      <c r="I3" s="9">
        <v>6.2</v>
      </c>
      <c r="J3" s="9">
        <v>2300</v>
      </c>
      <c r="K3" s="9"/>
      <c r="L3" s="9"/>
      <c r="M3" s="4"/>
      <c r="N3" s="9"/>
    </row>
    <row r="4" spans="1:14" ht="14.25" customHeight="1" x14ac:dyDescent="0.3">
      <c r="A4" s="10" t="s">
        <v>10</v>
      </c>
      <c r="B4" s="10" t="s">
        <v>11</v>
      </c>
      <c r="C4" s="10" t="s">
        <v>12</v>
      </c>
      <c r="H4" s="8"/>
      <c r="I4" s="9"/>
      <c r="J4" s="9"/>
      <c r="K4" s="9"/>
      <c r="L4" s="9"/>
      <c r="M4" s="4"/>
      <c r="N4" s="9"/>
    </row>
    <row r="5" spans="1:14" ht="14.25" customHeight="1" x14ac:dyDescent="0.3">
      <c r="A5" s="24" t="s">
        <v>13</v>
      </c>
      <c r="B5" s="25">
        <v>21</v>
      </c>
      <c r="C5" s="26">
        <v>46081</v>
      </c>
      <c r="H5" s="8"/>
      <c r="I5" s="9"/>
      <c r="J5" s="9"/>
      <c r="K5" s="9"/>
      <c r="L5" s="9"/>
      <c r="M5" s="4"/>
      <c r="N5" s="9"/>
    </row>
    <row r="6" spans="1:14" ht="14.25" customHeight="1" x14ac:dyDescent="0.3">
      <c r="A6" s="24" t="s">
        <v>14</v>
      </c>
      <c r="B6" s="25">
        <v>14</v>
      </c>
      <c r="C6" s="26">
        <f t="shared" ref="C6:C13" si="0">IF(C5="","",C5+B5)</f>
        <v>46102</v>
      </c>
      <c r="H6" s="8"/>
      <c r="I6" s="9"/>
      <c r="J6" s="9"/>
      <c r="K6" s="9"/>
      <c r="L6" s="9"/>
      <c r="M6" s="4"/>
      <c r="N6" s="9"/>
    </row>
    <row r="7" spans="1:14" ht="14.25" customHeight="1" x14ac:dyDescent="0.3">
      <c r="A7" s="24" t="s">
        <v>15</v>
      </c>
      <c r="B7" s="25">
        <v>14</v>
      </c>
      <c r="C7" s="26">
        <f t="shared" si="0"/>
        <v>46116</v>
      </c>
      <c r="H7" s="8"/>
      <c r="I7" s="9"/>
      <c r="J7" s="9"/>
      <c r="K7" s="9"/>
      <c r="L7" s="9"/>
      <c r="M7" s="4"/>
      <c r="N7" s="9"/>
    </row>
    <row r="8" spans="1:14" ht="14.25" customHeight="1" x14ac:dyDescent="0.3">
      <c r="A8" s="24" t="s">
        <v>16</v>
      </c>
      <c r="B8" s="25">
        <v>16</v>
      </c>
      <c r="C8" s="26">
        <f t="shared" si="0"/>
        <v>46130</v>
      </c>
      <c r="H8" s="8"/>
      <c r="I8" s="9"/>
      <c r="J8" s="9"/>
      <c r="K8" s="9"/>
      <c r="L8" s="9"/>
      <c r="M8" s="4"/>
      <c r="N8" s="9"/>
    </row>
    <row r="9" spans="1:14" ht="14.25" customHeight="1" x14ac:dyDescent="0.3">
      <c r="A9" s="24" t="s">
        <v>17</v>
      </c>
      <c r="B9" s="25">
        <v>63</v>
      </c>
      <c r="C9" s="26">
        <f t="shared" si="0"/>
        <v>46146</v>
      </c>
      <c r="H9" s="8"/>
      <c r="I9" s="9"/>
      <c r="J9" s="9"/>
      <c r="K9" s="9"/>
      <c r="L9" s="9"/>
      <c r="M9" s="4"/>
      <c r="N9" s="9"/>
    </row>
    <row r="10" spans="1:14" ht="14.25" customHeight="1" x14ac:dyDescent="0.3">
      <c r="A10" s="30" t="s">
        <v>18</v>
      </c>
      <c r="B10" s="31">
        <v>2</v>
      </c>
      <c r="C10" s="32">
        <f t="shared" si="0"/>
        <v>46209</v>
      </c>
      <c r="H10" s="8"/>
      <c r="I10" s="9"/>
      <c r="J10" s="9"/>
      <c r="K10" s="9"/>
      <c r="L10" s="9"/>
      <c r="M10" s="4"/>
      <c r="N10" s="9"/>
    </row>
    <row r="11" spans="1:14" ht="14.25" customHeight="1" x14ac:dyDescent="0.3">
      <c r="A11" s="27" t="s">
        <v>19</v>
      </c>
      <c r="B11" s="28">
        <v>7</v>
      </c>
      <c r="C11" s="29">
        <f t="shared" si="0"/>
        <v>46211</v>
      </c>
      <c r="H11" s="8"/>
      <c r="I11" s="9"/>
      <c r="J11" s="9"/>
      <c r="K11" s="9"/>
      <c r="L11" s="9"/>
      <c r="M11" s="4"/>
      <c r="N11" s="9"/>
    </row>
    <row r="12" spans="1:14" ht="14.25" customHeight="1" x14ac:dyDescent="0.3">
      <c r="A12" s="30" t="s">
        <v>20</v>
      </c>
      <c r="B12" s="31">
        <v>3</v>
      </c>
      <c r="C12" s="32">
        <f t="shared" si="0"/>
        <v>46218</v>
      </c>
      <c r="H12" s="8"/>
      <c r="I12" s="9"/>
      <c r="J12" s="9"/>
      <c r="K12" s="9"/>
      <c r="L12" s="9"/>
      <c r="M12" s="4"/>
      <c r="N12" s="9"/>
    </row>
    <row r="13" spans="1:14" ht="14.25" customHeight="1" x14ac:dyDescent="0.3">
      <c r="A13" s="27" t="s">
        <v>21</v>
      </c>
      <c r="B13" s="28"/>
      <c r="C13" s="33">
        <f t="shared" si="0"/>
        <v>46221</v>
      </c>
      <c r="H13" s="8"/>
      <c r="I13" s="9"/>
      <c r="J13" s="9"/>
      <c r="K13" s="9"/>
      <c r="L13" s="9"/>
      <c r="M13" s="4"/>
      <c r="N13" s="9"/>
    </row>
    <row r="14" spans="1:14" ht="14.25" customHeight="1" x14ac:dyDescent="0.3">
      <c r="A14" s="34"/>
      <c r="B14" s="34"/>
      <c r="C14" s="34"/>
      <c r="H14" s="8"/>
      <c r="I14" s="9"/>
      <c r="J14" s="9"/>
      <c r="K14" s="9"/>
      <c r="L14" s="9"/>
      <c r="M14" s="4"/>
      <c r="N14" s="9"/>
    </row>
    <row r="15" spans="1:14" ht="14.25" customHeight="1" x14ac:dyDescent="0.3">
      <c r="A15" s="35" t="s">
        <v>22</v>
      </c>
      <c r="B15" s="36" t="s">
        <v>23</v>
      </c>
      <c r="C15" s="34"/>
      <c r="H15" s="8"/>
      <c r="I15" s="9"/>
      <c r="J15" s="9"/>
      <c r="K15" s="9"/>
      <c r="L15" s="9"/>
      <c r="M15" s="4"/>
      <c r="N15" s="9"/>
    </row>
    <row r="16" spans="1:14" ht="14.25" customHeight="1" x14ac:dyDescent="0.3">
      <c r="A16" s="17" t="s">
        <v>70</v>
      </c>
      <c r="B16" s="4">
        <v>30</v>
      </c>
      <c r="C16" s="34"/>
      <c r="H16" s="8"/>
      <c r="I16" s="9"/>
      <c r="J16" s="9"/>
      <c r="K16" s="9"/>
      <c r="L16" s="9"/>
      <c r="M16" s="4"/>
      <c r="N16" s="9"/>
    </row>
    <row r="17" spans="1:14" ht="14.25" customHeight="1" x14ac:dyDescent="0.3">
      <c r="A17" s="17" t="s">
        <v>113</v>
      </c>
      <c r="B17" s="4">
        <v>10</v>
      </c>
      <c r="C17" s="34"/>
      <c r="H17" s="8"/>
      <c r="I17" s="9"/>
      <c r="J17" s="9"/>
      <c r="K17" s="9"/>
      <c r="L17" s="9"/>
      <c r="M17" s="4"/>
      <c r="N17" s="9"/>
    </row>
    <row r="18" spans="1:14" ht="14.25" customHeight="1" x14ac:dyDescent="0.3">
      <c r="A18" s="37" t="s">
        <v>29</v>
      </c>
      <c r="B18" s="10">
        <f>SUM(B16:B17)</f>
        <v>40</v>
      </c>
      <c r="C18" s="34"/>
      <c r="H18" s="8"/>
      <c r="I18" s="9"/>
      <c r="J18" s="9"/>
      <c r="K18" s="9"/>
      <c r="L18" s="9"/>
      <c r="M18" s="4"/>
      <c r="N18" s="9"/>
    </row>
    <row r="19" spans="1:14" ht="14.25" customHeight="1" x14ac:dyDescent="0.3">
      <c r="A19" s="34"/>
      <c r="B19" s="34"/>
      <c r="C19" s="34"/>
      <c r="H19" s="8"/>
      <c r="I19" s="9"/>
      <c r="J19" s="9"/>
      <c r="K19" s="9"/>
      <c r="L19" s="9"/>
      <c r="M19" s="4"/>
      <c r="N19" s="9"/>
    </row>
    <row r="20" spans="1:14" ht="14.25" customHeight="1" x14ac:dyDescent="0.3">
      <c r="A20" s="61" t="s">
        <v>30</v>
      </c>
      <c r="B20" s="62"/>
      <c r="C20" s="62"/>
      <c r="D20" s="62"/>
      <c r="E20" s="62"/>
      <c r="F20" s="62"/>
      <c r="H20" s="8"/>
      <c r="I20" s="9"/>
      <c r="J20" s="9"/>
      <c r="K20" s="9"/>
      <c r="L20" s="9"/>
      <c r="M20" s="4"/>
      <c r="N20" s="9"/>
    </row>
    <row r="21" spans="1:14" ht="39.75" customHeight="1" x14ac:dyDescent="0.3">
      <c r="A21" s="57"/>
      <c r="B21" s="58"/>
      <c r="C21" s="58"/>
      <c r="D21" s="58"/>
      <c r="E21" s="58"/>
      <c r="F21" s="58"/>
      <c r="H21" s="8"/>
      <c r="I21" s="9"/>
      <c r="J21" s="9"/>
      <c r="K21" s="9"/>
      <c r="L21" s="9"/>
      <c r="M21" s="4"/>
      <c r="N21" s="9"/>
    </row>
    <row r="22" spans="1:14" ht="14.25" customHeight="1" x14ac:dyDescent="0.3">
      <c r="A22" s="59"/>
      <c r="B22" s="60"/>
      <c r="C22" s="60"/>
      <c r="D22" s="60"/>
      <c r="E22" s="60"/>
      <c r="F22" s="60"/>
      <c r="H22" s="8"/>
      <c r="I22" s="9"/>
      <c r="J22" s="9"/>
      <c r="K22" s="9"/>
      <c r="L22" s="9"/>
      <c r="M22" s="4"/>
      <c r="N22" s="9"/>
    </row>
    <row r="23" spans="1:14" ht="14.25" customHeight="1" x14ac:dyDescent="0.3">
      <c r="A23" s="34"/>
      <c r="B23" s="34"/>
      <c r="C23" s="34"/>
      <c r="H23" s="8"/>
      <c r="I23" s="9"/>
      <c r="J23" s="9"/>
      <c r="K23" s="9"/>
      <c r="L23" s="9"/>
      <c r="M23" s="4"/>
      <c r="N23" s="9"/>
    </row>
    <row r="24" spans="1:14" ht="19.5" customHeight="1" x14ac:dyDescent="0.3">
      <c r="A24" s="65" t="s">
        <v>31</v>
      </c>
      <c r="B24" s="62"/>
      <c r="C24" s="62"/>
      <c r="D24" s="62"/>
      <c r="E24" s="62"/>
      <c r="F24" s="62"/>
      <c r="H24" s="8"/>
      <c r="I24" s="9"/>
      <c r="J24" s="9"/>
      <c r="K24" s="9"/>
      <c r="L24" s="9"/>
      <c r="M24" s="4"/>
      <c r="N24" s="9"/>
    </row>
    <row r="25" spans="1:14" ht="14.25" customHeight="1" x14ac:dyDescent="0.3">
      <c r="A25" s="10" t="s">
        <v>10</v>
      </c>
      <c r="B25" s="10" t="s">
        <v>11</v>
      </c>
      <c r="C25" s="10" t="s">
        <v>12</v>
      </c>
      <c r="H25" s="8"/>
      <c r="I25" s="9"/>
      <c r="J25" s="9"/>
      <c r="K25" s="9"/>
      <c r="L25" s="9"/>
      <c r="M25" s="4"/>
      <c r="N25" s="9"/>
    </row>
    <row r="26" spans="1:14" ht="14.25" customHeight="1" x14ac:dyDescent="0.3">
      <c r="A26" s="27" t="s">
        <v>13</v>
      </c>
      <c r="B26" s="28">
        <v>21</v>
      </c>
      <c r="C26" s="18"/>
      <c r="H26" s="8"/>
      <c r="I26" s="9"/>
      <c r="J26" s="9"/>
      <c r="K26" s="9"/>
      <c r="L26" s="9"/>
      <c r="M26" s="4"/>
      <c r="N26" s="9"/>
    </row>
    <row r="27" spans="1:14" ht="14.25" customHeight="1" x14ac:dyDescent="0.3">
      <c r="A27" s="30" t="s">
        <v>14</v>
      </c>
      <c r="B27" s="31">
        <v>14</v>
      </c>
      <c r="C27" s="39"/>
      <c r="H27" s="8"/>
      <c r="I27" s="9"/>
      <c r="J27" s="9"/>
      <c r="K27" s="9"/>
      <c r="L27" s="9"/>
      <c r="M27" s="4"/>
      <c r="N27" s="9"/>
    </row>
    <row r="28" spans="1:14" ht="14.25" customHeight="1" x14ac:dyDescent="0.3">
      <c r="A28" s="27" t="s">
        <v>15</v>
      </c>
      <c r="B28" s="28">
        <v>14</v>
      </c>
      <c r="C28" s="38"/>
    </row>
    <row r="29" spans="1:14" ht="14.25" customHeight="1" x14ac:dyDescent="0.3">
      <c r="A29" s="30" t="s">
        <v>16</v>
      </c>
      <c r="B29" s="31">
        <v>16</v>
      </c>
      <c r="C29" s="39">
        <f>C12+1</f>
        <v>46219</v>
      </c>
    </row>
    <row r="30" spans="1:14" ht="14.25" customHeight="1" x14ac:dyDescent="0.3">
      <c r="A30" s="27" t="s">
        <v>17</v>
      </c>
      <c r="B30" s="28">
        <v>63</v>
      </c>
      <c r="C30" s="38">
        <f>IF(C29="","",C29+B29)</f>
        <v>46235</v>
      </c>
    </row>
    <row r="31" spans="1:14" ht="14.25" customHeight="1" x14ac:dyDescent="0.3">
      <c r="A31" s="30" t="s">
        <v>18</v>
      </c>
      <c r="B31" s="31">
        <v>1</v>
      </c>
      <c r="C31" s="39">
        <f>IF(C30="","",C30+B30)</f>
        <v>46298</v>
      </c>
    </row>
    <row r="32" spans="1:14" ht="14.25" customHeight="1" x14ac:dyDescent="0.3">
      <c r="A32" s="27" t="s">
        <v>19</v>
      </c>
      <c r="B32" s="28">
        <v>7</v>
      </c>
      <c r="C32" s="38">
        <f>IF(C31="","",C31+B31)</f>
        <v>46299</v>
      </c>
    </row>
    <row r="33" spans="1:6" ht="14.25" customHeight="1" x14ac:dyDescent="0.3">
      <c r="A33" s="30" t="s">
        <v>20</v>
      </c>
      <c r="B33" s="31">
        <v>3</v>
      </c>
      <c r="C33" s="39">
        <f>IF(C32="","",C32+B32)</f>
        <v>46306</v>
      </c>
    </row>
    <row r="34" spans="1:6" ht="14.25" customHeight="1" x14ac:dyDescent="0.3">
      <c r="A34" s="27" t="s">
        <v>21</v>
      </c>
      <c r="B34" s="28"/>
      <c r="C34" s="40">
        <f>IF(C33="","",C33+B33)</f>
        <v>46309</v>
      </c>
    </row>
    <row r="35" spans="1:6" ht="14.25" customHeight="1" x14ac:dyDescent="0.3">
      <c r="A35" s="34"/>
      <c r="B35" s="34"/>
      <c r="C35" s="34"/>
    </row>
    <row r="36" spans="1:6" ht="14.25" customHeight="1" x14ac:dyDescent="0.3">
      <c r="A36" s="35" t="s">
        <v>22</v>
      </c>
      <c r="B36" s="36" t="s">
        <v>23</v>
      </c>
      <c r="C36" s="34"/>
    </row>
    <row r="37" spans="1:6" ht="14.25" customHeight="1" x14ac:dyDescent="0.3">
      <c r="A37" s="17"/>
      <c r="B37" s="4"/>
      <c r="C37" s="34"/>
    </row>
    <row r="38" spans="1:6" ht="14.25" customHeight="1" x14ac:dyDescent="0.3">
      <c r="A38" s="17"/>
      <c r="B38" s="4"/>
      <c r="C38" s="34"/>
    </row>
    <row r="39" spans="1:6" ht="14.25" customHeight="1" x14ac:dyDescent="0.3">
      <c r="A39" s="37" t="s">
        <v>29</v>
      </c>
      <c r="B39" s="10">
        <f>SUM(B37:B38)</f>
        <v>0</v>
      </c>
      <c r="C39" s="34"/>
    </row>
    <row r="40" spans="1:6" ht="14.25" customHeight="1" x14ac:dyDescent="0.3">
      <c r="A40" s="34"/>
      <c r="B40" s="34"/>
      <c r="C40" s="34"/>
    </row>
    <row r="41" spans="1:6" ht="14.25" customHeight="1" x14ac:dyDescent="0.3">
      <c r="A41" s="61" t="s">
        <v>30</v>
      </c>
      <c r="B41" s="62"/>
      <c r="C41" s="62"/>
      <c r="D41" s="62"/>
      <c r="E41" s="62"/>
      <c r="F41" s="62"/>
    </row>
    <row r="42" spans="1:6" ht="39.75" customHeight="1" x14ac:dyDescent="0.3">
      <c r="A42" s="57"/>
      <c r="B42" s="58"/>
      <c r="C42" s="58"/>
      <c r="D42" s="58"/>
      <c r="E42" s="58"/>
      <c r="F42" s="58"/>
    </row>
    <row r="43" spans="1:6" ht="14.25" customHeight="1" x14ac:dyDescent="0.3">
      <c r="A43" s="59"/>
      <c r="B43" s="60"/>
      <c r="C43" s="60"/>
      <c r="D43" s="60"/>
      <c r="E43" s="60"/>
      <c r="F43" s="60"/>
    </row>
    <row r="44" spans="1:6" ht="14.25" customHeight="1" x14ac:dyDescent="0.3">
      <c r="A44" s="34"/>
      <c r="B44" s="34"/>
      <c r="C44" s="34"/>
    </row>
    <row r="45" spans="1:6" ht="19.5" customHeight="1" x14ac:dyDescent="0.3">
      <c r="A45" s="65" t="s">
        <v>32</v>
      </c>
      <c r="B45" s="62"/>
      <c r="C45" s="62"/>
      <c r="D45" s="62"/>
      <c r="E45" s="62"/>
      <c r="F45" s="62"/>
    </row>
    <row r="46" spans="1:6" ht="14.25" customHeight="1" x14ac:dyDescent="0.3">
      <c r="A46" s="10" t="s">
        <v>10</v>
      </c>
      <c r="B46" s="10" t="s">
        <v>11</v>
      </c>
      <c r="C46" s="10" t="s">
        <v>12</v>
      </c>
    </row>
    <row r="47" spans="1:6" ht="14.25" customHeight="1" x14ac:dyDescent="0.3">
      <c r="A47" s="27" t="s">
        <v>13</v>
      </c>
      <c r="B47" s="28">
        <v>21</v>
      </c>
      <c r="C47" s="18"/>
    </row>
    <row r="48" spans="1:6" ht="14.25" customHeight="1" x14ac:dyDescent="0.3">
      <c r="A48" s="30" t="s">
        <v>14</v>
      </c>
      <c r="B48" s="31">
        <v>14</v>
      </c>
      <c r="C48" s="32"/>
    </row>
    <row r="49" spans="1:6" ht="14.25" customHeight="1" x14ac:dyDescent="0.3">
      <c r="A49" s="27" t="s">
        <v>15</v>
      </c>
      <c r="B49" s="28">
        <v>14</v>
      </c>
      <c r="C49" s="29"/>
    </row>
    <row r="50" spans="1:6" ht="14.25" customHeight="1" x14ac:dyDescent="0.3">
      <c r="A50" s="30" t="s">
        <v>16</v>
      </c>
      <c r="B50" s="31">
        <v>16</v>
      </c>
      <c r="C50" s="39">
        <f>C33+1</f>
        <v>46307</v>
      </c>
    </row>
    <row r="51" spans="1:6" ht="14.25" customHeight="1" x14ac:dyDescent="0.3">
      <c r="A51" s="27" t="s">
        <v>17</v>
      </c>
      <c r="B51" s="28">
        <v>63</v>
      </c>
      <c r="C51" s="29">
        <f>IF(C50="","",C50+B50)</f>
        <v>46323</v>
      </c>
    </row>
    <row r="52" spans="1:6" ht="14.25" customHeight="1" x14ac:dyDescent="0.3">
      <c r="A52" s="30" t="s">
        <v>18</v>
      </c>
      <c r="B52" s="31">
        <v>1</v>
      </c>
      <c r="C52" s="32">
        <f>IF(C51="","",C51+B51)</f>
        <v>46386</v>
      </c>
    </row>
    <row r="53" spans="1:6" ht="14.25" customHeight="1" x14ac:dyDescent="0.3">
      <c r="A53" s="27" t="s">
        <v>19</v>
      </c>
      <c r="B53" s="28">
        <v>7</v>
      </c>
      <c r="C53" s="29">
        <f>IF(C52="","",C52+B52)</f>
        <v>46387</v>
      </c>
    </row>
    <row r="54" spans="1:6" ht="14.25" customHeight="1" x14ac:dyDescent="0.3">
      <c r="A54" s="30" t="s">
        <v>20</v>
      </c>
      <c r="B54" s="31">
        <v>3</v>
      </c>
      <c r="C54" s="32">
        <f>IF(C53="","",C53+B53)</f>
        <v>46394</v>
      </c>
    </row>
    <row r="55" spans="1:6" ht="14.25" customHeight="1" x14ac:dyDescent="0.3">
      <c r="A55" s="27" t="s">
        <v>21</v>
      </c>
      <c r="B55" s="28"/>
      <c r="C55" s="29">
        <f>IF(C54="","",C54+B54)</f>
        <v>46397</v>
      </c>
    </row>
    <row r="56" spans="1:6" ht="14.25" customHeight="1" x14ac:dyDescent="0.3">
      <c r="A56" s="34"/>
      <c r="B56" s="34"/>
      <c r="C56" s="34"/>
    </row>
    <row r="57" spans="1:6" ht="14.25" customHeight="1" x14ac:dyDescent="0.3">
      <c r="A57" s="35" t="s">
        <v>22</v>
      </c>
      <c r="B57" s="36" t="s">
        <v>23</v>
      </c>
      <c r="C57" s="34"/>
    </row>
    <row r="58" spans="1:6" ht="14.25" customHeight="1" x14ac:dyDescent="0.3">
      <c r="A58" s="17"/>
      <c r="B58" s="4"/>
      <c r="C58" s="34"/>
    </row>
    <row r="59" spans="1:6" ht="14.25" customHeight="1" x14ac:dyDescent="0.3">
      <c r="A59" s="17"/>
      <c r="B59" s="4"/>
      <c r="C59" s="34"/>
    </row>
    <row r="60" spans="1:6" ht="14.25" customHeight="1" x14ac:dyDescent="0.3">
      <c r="A60" s="37" t="s">
        <v>29</v>
      </c>
      <c r="B60" s="10">
        <f>SUM(B58:B59)</f>
        <v>0</v>
      </c>
      <c r="C60" s="34"/>
    </row>
    <row r="61" spans="1:6" ht="14.25" customHeight="1" x14ac:dyDescent="0.3">
      <c r="A61" s="34"/>
      <c r="B61" s="34"/>
      <c r="C61" s="34"/>
    </row>
    <row r="62" spans="1:6" ht="14.25" customHeight="1" x14ac:dyDescent="0.3">
      <c r="A62" s="61" t="s">
        <v>30</v>
      </c>
      <c r="B62" s="62"/>
      <c r="C62" s="62"/>
      <c r="D62" s="62"/>
      <c r="E62" s="62"/>
      <c r="F62" s="62"/>
    </row>
    <row r="63" spans="1:6" ht="39.75" customHeight="1" x14ac:dyDescent="0.3">
      <c r="A63" s="57"/>
      <c r="B63" s="58"/>
      <c r="C63" s="58"/>
      <c r="D63" s="58"/>
      <c r="E63" s="58"/>
      <c r="F63" s="58"/>
    </row>
    <row r="64" spans="1:6" ht="14.25" customHeight="1" x14ac:dyDescent="0.3">
      <c r="A64" s="59"/>
      <c r="B64" s="60"/>
      <c r="C64" s="60"/>
      <c r="D64" s="60"/>
      <c r="E64" s="60"/>
      <c r="F64" s="60"/>
    </row>
    <row r="65" spans="1:6" ht="14.25" customHeight="1" x14ac:dyDescent="0.3">
      <c r="A65" s="34"/>
      <c r="B65" s="34"/>
      <c r="C65" s="34"/>
    </row>
    <row r="66" spans="1:6" ht="19.5" customHeight="1" x14ac:dyDescent="0.3">
      <c r="A66" s="65" t="s">
        <v>33</v>
      </c>
      <c r="B66" s="62"/>
      <c r="C66" s="62"/>
      <c r="D66" s="62"/>
      <c r="E66" s="62"/>
      <c r="F66" s="62"/>
    </row>
    <row r="67" spans="1:6" ht="14.25" customHeight="1" x14ac:dyDescent="0.3">
      <c r="A67" s="10" t="s">
        <v>10</v>
      </c>
      <c r="B67" s="10" t="s">
        <v>11</v>
      </c>
      <c r="C67" s="10" t="s">
        <v>12</v>
      </c>
    </row>
    <row r="68" spans="1:6" ht="14.25" customHeight="1" x14ac:dyDescent="0.3">
      <c r="A68" s="27" t="s">
        <v>13</v>
      </c>
      <c r="B68" s="28">
        <v>21</v>
      </c>
      <c r="C68" s="18"/>
    </row>
    <row r="69" spans="1:6" ht="14.25" customHeight="1" x14ac:dyDescent="0.3">
      <c r="A69" s="30" t="s">
        <v>14</v>
      </c>
      <c r="B69" s="31">
        <v>14</v>
      </c>
      <c r="C69" s="39"/>
    </row>
    <row r="70" spans="1:6" ht="14.25" customHeight="1" x14ac:dyDescent="0.3">
      <c r="A70" s="27" t="s">
        <v>15</v>
      </c>
      <c r="B70" s="28">
        <v>14</v>
      </c>
      <c r="C70" s="38"/>
    </row>
    <row r="71" spans="1:6" ht="14.25" customHeight="1" x14ac:dyDescent="0.3">
      <c r="A71" s="30" t="s">
        <v>16</v>
      </c>
      <c r="B71" s="31">
        <v>16</v>
      </c>
      <c r="C71" s="39">
        <f>C54+1</f>
        <v>46395</v>
      </c>
    </row>
    <row r="72" spans="1:6" ht="14.25" customHeight="1" x14ac:dyDescent="0.3">
      <c r="A72" s="27" t="s">
        <v>17</v>
      </c>
      <c r="B72" s="28">
        <v>63</v>
      </c>
      <c r="C72" s="38">
        <f>IF(C71="","",C71+B71)</f>
        <v>46411</v>
      </c>
    </row>
    <row r="73" spans="1:6" ht="14.25" customHeight="1" x14ac:dyDescent="0.3">
      <c r="A73" s="30" t="s">
        <v>18</v>
      </c>
      <c r="B73" s="31">
        <v>1</v>
      </c>
      <c r="C73" s="39">
        <f>IF(C72="","",C72+B72)</f>
        <v>46474</v>
      </c>
    </row>
    <row r="74" spans="1:6" ht="14.25" customHeight="1" x14ac:dyDescent="0.3">
      <c r="A74" s="27" t="s">
        <v>19</v>
      </c>
      <c r="B74" s="28">
        <v>7</v>
      </c>
      <c r="C74" s="38">
        <f>IF(C73="","",C73+B73)</f>
        <v>46475</v>
      </c>
    </row>
    <row r="75" spans="1:6" ht="14.25" customHeight="1" x14ac:dyDescent="0.3">
      <c r="A75" s="30" t="s">
        <v>20</v>
      </c>
      <c r="B75" s="31">
        <v>3</v>
      </c>
      <c r="C75" s="39">
        <f>IF(C74="","",C74+B74)</f>
        <v>46482</v>
      </c>
    </row>
    <row r="76" spans="1:6" ht="14.25" customHeight="1" x14ac:dyDescent="0.3">
      <c r="A76" s="27" t="s">
        <v>21</v>
      </c>
      <c r="B76" s="28"/>
      <c r="C76" s="40">
        <f>IF(C75="","",C75+B75)</f>
        <v>46485</v>
      </c>
    </row>
    <row r="77" spans="1:6" ht="14.25" customHeight="1" x14ac:dyDescent="0.3">
      <c r="A77" s="34"/>
      <c r="B77" s="34"/>
      <c r="C77" s="34"/>
    </row>
    <row r="78" spans="1:6" ht="14.25" customHeight="1" x14ac:dyDescent="0.3">
      <c r="A78" s="35" t="s">
        <v>22</v>
      </c>
      <c r="B78" s="36" t="s">
        <v>23</v>
      </c>
      <c r="C78" s="34"/>
    </row>
    <row r="79" spans="1:6" ht="14.25" customHeight="1" x14ac:dyDescent="0.3">
      <c r="A79" s="17"/>
      <c r="B79" s="4"/>
      <c r="C79" s="34"/>
    </row>
    <row r="80" spans="1:6" ht="14.25" customHeight="1" x14ac:dyDescent="0.3">
      <c r="A80" s="17"/>
      <c r="B80" s="4"/>
      <c r="C80" s="34"/>
    </row>
    <row r="81" spans="1:6" ht="14.25" customHeight="1" x14ac:dyDescent="0.3">
      <c r="A81" s="37" t="s">
        <v>29</v>
      </c>
      <c r="B81" s="10">
        <f>SUM(B79:B80)</f>
        <v>0</v>
      </c>
      <c r="C81" s="34"/>
    </row>
    <row r="82" spans="1:6" ht="14.25" customHeight="1" x14ac:dyDescent="0.3">
      <c r="A82" s="34"/>
      <c r="B82" s="34"/>
      <c r="C82" s="34"/>
    </row>
    <row r="83" spans="1:6" ht="14.25" customHeight="1" x14ac:dyDescent="0.3">
      <c r="A83" s="61" t="s">
        <v>30</v>
      </c>
      <c r="B83" s="62"/>
      <c r="C83" s="62"/>
      <c r="D83" s="62"/>
      <c r="E83" s="62"/>
      <c r="F83" s="62"/>
    </row>
    <row r="84" spans="1:6" ht="39.75" customHeight="1" x14ac:dyDescent="0.3">
      <c r="A84" s="57"/>
      <c r="B84" s="58"/>
      <c r="C84" s="58"/>
      <c r="D84" s="58"/>
      <c r="E84" s="58"/>
      <c r="F84" s="58"/>
    </row>
    <row r="85" spans="1:6" ht="14.25" customHeight="1" x14ac:dyDescent="0.3">
      <c r="A85" s="59"/>
      <c r="B85" s="60"/>
      <c r="C85" s="60"/>
      <c r="D85" s="60"/>
      <c r="E85" s="60"/>
      <c r="F85" s="60"/>
    </row>
    <row r="86" spans="1:6" ht="14.25" customHeight="1" x14ac:dyDescent="0.3">
      <c r="A86" s="34"/>
      <c r="B86" s="34"/>
      <c r="C86" s="34"/>
    </row>
    <row r="87" spans="1:6" ht="19.5" customHeight="1" x14ac:dyDescent="0.3">
      <c r="A87" s="65" t="s">
        <v>34</v>
      </c>
      <c r="B87" s="62"/>
      <c r="C87" s="62"/>
      <c r="D87" s="62"/>
      <c r="E87" s="62"/>
      <c r="F87" s="62"/>
    </row>
    <row r="88" spans="1:6" ht="14.25" customHeight="1" x14ac:dyDescent="0.3">
      <c r="A88" s="10" t="s">
        <v>10</v>
      </c>
      <c r="B88" s="10" t="s">
        <v>11</v>
      </c>
      <c r="C88" s="10" t="s">
        <v>12</v>
      </c>
    </row>
    <row r="89" spans="1:6" ht="14.25" customHeight="1" x14ac:dyDescent="0.3">
      <c r="A89" s="27" t="s">
        <v>13</v>
      </c>
      <c r="B89" s="28">
        <v>21</v>
      </c>
      <c r="C89" s="18"/>
    </row>
    <row r="90" spans="1:6" ht="14.25" customHeight="1" x14ac:dyDescent="0.3">
      <c r="A90" s="30" t="s">
        <v>14</v>
      </c>
      <c r="B90" s="31">
        <v>14</v>
      </c>
      <c r="C90" s="39"/>
    </row>
    <row r="91" spans="1:6" ht="14.25" customHeight="1" x14ac:dyDescent="0.3">
      <c r="A91" s="27" t="s">
        <v>15</v>
      </c>
      <c r="B91" s="28">
        <v>14</v>
      </c>
      <c r="C91" s="38"/>
    </row>
    <row r="92" spans="1:6" ht="14.25" customHeight="1" x14ac:dyDescent="0.3">
      <c r="A92" s="30" t="s">
        <v>16</v>
      </c>
      <c r="B92" s="31">
        <v>16</v>
      </c>
      <c r="C92" s="39">
        <f>C75+1</f>
        <v>46483</v>
      </c>
    </row>
    <row r="93" spans="1:6" ht="14.25" customHeight="1" x14ac:dyDescent="0.3">
      <c r="A93" s="27" t="s">
        <v>17</v>
      </c>
      <c r="B93" s="28">
        <v>63</v>
      </c>
      <c r="C93" s="38">
        <f>IF(C92="","",C92+B92)</f>
        <v>46499</v>
      </c>
    </row>
    <row r="94" spans="1:6" ht="14.25" customHeight="1" x14ac:dyDescent="0.3">
      <c r="A94" s="30" t="s">
        <v>18</v>
      </c>
      <c r="B94" s="31">
        <v>1</v>
      </c>
      <c r="C94" s="39">
        <f>IF(C93="","",C93+B93)</f>
        <v>46562</v>
      </c>
    </row>
    <row r="95" spans="1:6" ht="14.25" customHeight="1" x14ac:dyDescent="0.3">
      <c r="A95" s="27" t="s">
        <v>19</v>
      </c>
      <c r="B95" s="28">
        <v>7</v>
      </c>
      <c r="C95" s="38">
        <f>IF(C94="","",C94+B94)</f>
        <v>46563</v>
      </c>
    </row>
    <row r="96" spans="1:6" ht="14.25" customHeight="1" x14ac:dyDescent="0.3">
      <c r="A96" s="30" t="s">
        <v>20</v>
      </c>
      <c r="B96" s="31">
        <v>3</v>
      </c>
      <c r="C96" s="39">
        <f>IF(C95="","",C95+B95)</f>
        <v>46570</v>
      </c>
    </row>
    <row r="97" spans="1:6" ht="14.25" customHeight="1" x14ac:dyDescent="0.3">
      <c r="A97" s="27" t="s">
        <v>21</v>
      </c>
      <c r="B97" s="28"/>
      <c r="C97" s="40">
        <f>IF(C96="","",C96+B96)</f>
        <v>46573</v>
      </c>
    </row>
    <row r="98" spans="1:6" ht="14.25" customHeight="1" x14ac:dyDescent="0.3">
      <c r="A98" s="34"/>
      <c r="B98" s="34"/>
      <c r="C98" s="34"/>
    </row>
    <row r="99" spans="1:6" ht="14.25" customHeight="1" x14ac:dyDescent="0.3">
      <c r="A99" s="35" t="s">
        <v>22</v>
      </c>
      <c r="B99" s="36" t="s">
        <v>23</v>
      </c>
      <c r="C99" s="34"/>
    </row>
    <row r="100" spans="1:6" ht="14.25" customHeight="1" x14ac:dyDescent="0.3">
      <c r="A100" s="17"/>
      <c r="B100" s="4"/>
      <c r="C100" s="34"/>
    </row>
    <row r="101" spans="1:6" ht="14.25" customHeight="1" x14ac:dyDescent="0.3">
      <c r="A101" s="17"/>
      <c r="B101" s="4"/>
      <c r="C101" s="34"/>
    </row>
    <row r="102" spans="1:6" ht="14.25" customHeight="1" x14ac:dyDescent="0.3">
      <c r="A102" s="37" t="s">
        <v>29</v>
      </c>
      <c r="B102" s="10">
        <f>SUM(B100:B101)</f>
        <v>0</v>
      </c>
      <c r="C102" s="34"/>
    </row>
    <row r="103" spans="1:6" ht="14.25" customHeight="1" x14ac:dyDescent="0.3">
      <c r="A103" s="34"/>
      <c r="B103" s="34"/>
      <c r="C103" s="34"/>
    </row>
    <row r="104" spans="1:6" ht="14.25" customHeight="1" x14ac:dyDescent="0.3">
      <c r="A104" s="61" t="s">
        <v>30</v>
      </c>
      <c r="B104" s="62"/>
      <c r="C104" s="62"/>
      <c r="D104" s="62"/>
      <c r="E104" s="62"/>
      <c r="F104" s="62"/>
    </row>
    <row r="105" spans="1:6" ht="39.75" customHeight="1" x14ac:dyDescent="0.3">
      <c r="A105" s="57"/>
      <c r="B105" s="58"/>
      <c r="C105" s="58"/>
      <c r="D105" s="58"/>
      <c r="E105" s="58"/>
      <c r="F105" s="58"/>
    </row>
    <row r="106" spans="1:6" ht="14.25" customHeight="1" x14ac:dyDescent="0.3">
      <c r="A106" s="59"/>
      <c r="B106" s="60"/>
      <c r="C106" s="60"/>
      <c r="D106" s="60"/>
      <c r="E106" s="60"/>
      <c r="F106" s="60"/>
    </row>
    <row r="107" spans="1:6" ht="14.25" customHeight="1" x14ac:dyDescent="0.3">
      <c r="A107" s="34"/>
      <c r="B107" s="34"/>
      <c r="C107" s="34"/>
    </row>
  </sheetData>
  <mergeCells count="17">
    <mergeCell ref="A84:F85"/>
    <mergeCell ref="A24:F24"/>
    <mergeCell ref="A41:F41"/>
    <mergeCell ref="H1:M1"/>
    <mergeCell ref="A105:F106"/>
    <mergeCell ref="A63:F64"/>
    <mergeCell ref="A66:F66"/>
    <mergeCell ref="A104:F104"/>
    <mergeCell ref="A1:F1"/>
    <mergeCell ref="A21:F22"/>
    <mergeCell ref="A45:F45"/>
    <mergeCell ref="A83:F83"/>
    <mergeCell ref="A62:F62"/>
    <mergeCell ref="A3:F3"/>
    <mergeCell ref="A42:F43"/>
    <mergeCell ref="A20:F20"/>
    <mergeCell ref="A87:F8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B4332"/>
  </sheetPr>
  <dimension ref="A1:N109"/>
  <sheetViews>
    <sheetView showGridLines="0" zoomScaleNormal="100" workbookViewId="0">
      <selection activeCell="A23" sqref="A23:F24"/>
    </sheetView>
  </sheetViews>
  <sheetFormatPr baseColWidth="10" defaultColWidth="8.6640625" defaultRowHeight="14.4" x14ac:dyDescent="0.3"/>
  <cols>
    <col min="1" max="1" width="22" customWidth="1"/>
    <col min="2" max="2" width="8" customWidth="1"/>
    <col min="3" max="3" width="16" customWidth="1"/>
    <col min="4" max="4" width="2" customWidth="1"/>
    <col min="5" max="5" width="14" customWidth="1"/>
    <col min="6" max="6" width="16" customWidth="1"/>
    <col min="8" max="8" width="14" customWidth="1"/>
    <col min="9" max="9" width="8" customWidth="1"/>
    <col min="10" max="12" width="10" customWidth="1"/>
    <col min="13" max="13" width="13" customWidth="1"/>
    <col min="14" max="14" width="20" customWidth="1"/>
  </cols>
  <sheetData>
    <row r="1" spans="1:14" ht="30" customHeight="1" x14ac:dyDescent="0.3">
      <c r="A1" s="66" t="s">
        <v>114</v>
      </c>
      <c r="B1" s="64"/>
      <c r="C1" s="64"/>
      <c r="D1" s="64"/>
      <c r="E1" s="64"/>
      <c r="F1" s="64"/>
      <c r="H1" s="63" t="s">
        <v>1</v>
      </c>
      <c r="I1" s="64"/>
      <c r="J1" s="64"/>
      <c r="K1" s="64"/>
      <c r="L1" s="64"/>
      <c r="M1" s="64"/>
    </row>
    <row r="2" spans="1:14" ht="24" customHeight="1" x14ac:dyDescent="0.3">
      <c r="H2" s="7" t="s">
        <v>2</v>
      </c>
      <c r="I2" s="7" t="s">
        <v>3</v>
      </c>
      <c r="J2" s="7" t="s">
        <v>4</v>
      </c>
      <c r="K2" s="7" t="s">
        <v>5</v>
      </c>
      <c r="L2" s="7" t="s">
        <v>6</v>
      </c>
      <c r="M2" s="1" t="s">
        <v>7</v>
      </c>
      <c r="N2" s="7" t="s">
        <v>8</v>
      </c>
    </row>
    <row r="3" spans="1:14" ht="19.5" customHeight="1" x14ac:dyDescent="0.3">
      <c r="A3" s="65" t="s">
        <v>9</v>
      </c>
      <c r="B3" s="62"/>
      <c r="C3" s="62"/>
      <c r="D3" s="62"/>
      <c r="E3" s="62"/>
      <c r="F3" s="62"/>
      <c r="H3" s="8">
        <v>46184</v>
      </c>
      <c r="I3" s="9">
        <v>6.1</v>
      </c>
      <c r="J3" s="9">
        <v>1950</v>
      </c>
      <c r="K3" s="9"/>
      <c r="L3" s="9"/>
      <c r="M3" s="4"/>
      <c r="N3" s="9"/>
    </row>
    <row r="4" spans="1:14" ht="14.25" customHeight="1" x14ac:dyDescent="0.3">
      <c r="A4" s="10" t="s">
        <v>10</v>
      </c>
      <c r="B4" s="10" t="s">
        <v>11</v>
      </c>
      <c r="C4" s="10" t="s">
        <v>12</v>
      </c>
      <c r="H4" s="8"/>
      <c r="I4" s="9"/>
      <c r="J4" s="9"/>
      <c r="K4" s="9"/>
      <c r="L4" s="9"/>
      <c r="M4" s="4"/>
      <c r="N4" s="9"/>
    </row>
    <row r="5" spans="1:14" ht="14.25" customHeight="1" x14ac:dyDescent="0.3">
      <c r="A5" s="24" t="s">
        <v>13</v>
      </c>
      <c r="B5" s="25">
        <v>21</v>
      </c>
      <c r="C5" s="26">
        <v>46095</v>
      </c>
      <c r="H5" s="8"/>
      <c r="I5" s="9"/>
      <c r="J5" s="9"/>
      <c r="K5" s="9"/>
      <c r="L5" s="9"/>
      <c r="M5" s="4"/>
      <c r="N5" s="9"/>
    </row>
    <row r="6" spans="1:14" ht="14.25" customHeight="1" x14ac:dyDescent="0.3">
      <c r="A6" s="24" t="s">
        <v>14</v>
      </c>
      <c r="B6" s="25">
        <v>14</v>
      </c>
      <c r="C6" s="26">
        <f t="shared" ref="C6:C13" si="0">IF(C5="","",C5+B5)</f>
        <v>46116</v>
      </c>
      <c r="H6" s="8"/>
      <c r="I6" s="9"/>
      <c r="J6" s="9"/>
      <c r="K6" s="9"/>
      <c r="L6" s="9"/>
      <c r="M6" s="4"/>
      <c r="N6" s="9"/>
    </row>
    <row r="7" spans="1:14" ht="14.25" customHeight="1" x14ac:dyDescent="0.3">
      <c r="A7" s="24" t="s">
        <v>15</v>
      </c>
      <c r="B7" s="25">
        <v>14</v>
      </c>
      <c r="C7" s="26">
        <f t="shared" si="0"/>
        <v>46130</v>
      </c>
      <c r="H7" s="8"/>
      <c r="I7" s="9"/>
      <c r="J7" s="9"/>
      <c r="K7" s="9"/>
      <c r="L7" s="9"/>
      <c r="M7" s="4"/>
      <c r="N7" s="9"/>
    </row>
    <row r="8" spans="1:14" ht="14.25" customHeight="1" x14ac:dyDescent="0.3">
      <c r="A8" s="24" t="s">
        <v>16</v>
      </c>
      <c r="B8" s="25">
        <v>16</v>
      </c>
      <c r="C8" s="26">
        <f t="shared" si="0"/>
        <v>46144</v>
      </c>
      <c r="H8" s="8"/>
      <c r="I8" s="9"/>
      <c r="J8" s="9"/>
      <c r="K8" s="9"/>
      <c r="L8" s="9"/>
      <c r="M8" s="4"/>
      <c r="N8" s="9"/>
    </row>
    <row r="9" spans="1:14" ht="14.25" customHeight="1" x14ac:dyDescent="0.3">
      <c r="A9" s="24" t="s">
        <v>17</v>
      </c>
      <c r="B9" s="25">
        <v>63</v>
      </c>
      <c r="C9" s="26">
        <f t="shared" si="0"/>
        <v>46160</v>
      </c>
      <c r="H9" s="8"/>
      <c r="I9" s="9"/>
      <c r="J9" s="9"/>
      <c r="K9" s="9"/>
      <c r="L9" s="9"/>
      <c r="M9" s="4"/>
      <c r="N9" s="9"/>
    </row>
    <row r="10" spans="1:14" ht="14.25" customHeight="1" x14ac:dyDescent="0.3">
      <c r="A10" s="30" t="s">
        <v>18</v>
      </c>
      <c r="B10" s="31">
        <v>1</v>
      </c>
      <c r="C10" s="32">
        <f t="shared" si="0"/>
        <v>46223</v>
      </c>
      <c r="H10" s="8"/>
      <c r="I10" s="9"/>
      <c r="J10" s="9"/>
      <c r="K10" s="9"/>
      <c r="L10" s="9"/>
      <c r="M10" s="4"/>
      <c r="N10" s="9"/>
    </row>
    <row r="11" spans="1:14" ht="14.25" customHeight="1" x14ac:dyDescent="0.3">
      <c r="A11" s="27" t="s">
        <v>19</v>
      </c>
      <c r="B11" s="28">
        <v>7</v>
      </c>
      <c r="C11" s="29">
        <f t="shared" si="0"/>
        <v>46224</v>
      </c>
      <c r="H11" s="8"/>
      <c r="I11" s="9"/>
      <c r="J11" s="9"/>
      <c r="K11" s="9"/>
      <c r="L11" s="9"/>
      <c r="M11" s="4"/>
      <c r="N11" s="9"/>
    </row>
    <row r="12" spans="1:14" ht="14.25" customHeight="1" x14ac:dyDescent="0.3">
      <c r="A12" s="30" t="s">
        <v>20</v>
      </c>
      <c r="B12" s="31">
        <v>3</v>
      </c>
      <c r="C12" s="32">
        <f t="shared" si="0"/>
        <v>46231</v>
      </c>
      <c r="H12" s="8"/>
      <c r="I12" s="9"/>
      <c r="J12" s="9"/>
      <c r="K12" s="9"/>
      <c r="L12" s="9"/>
      <c r="M12" s="4"/>
      <c r="N12" s="9"/>
    </row>
    <row r="13" spans="1:14" ht="14.25" customHeight="1" x14ac:dyDescent="0.3">
      <c r="A13" s="27" t="s">
        <v>21</v>
      </c>
      <c r="B13" s="28"/>
      <c r="C13" s="41">
        <f t="shared" si="0"/>
        <v>46234</v>
      </c>
      <c r="H13" s="8"/>
      <c r="I13" s="9"/>
      <c r="J13" s="9"/>
      <c r="K13" s="9"/>
      <c r="L13" s="9"/>
      <c r="M13" s="4"/>
      <c r="N13" s="9"/>
    </row>
    <row r="14" spans="1:14" ht="14.25" customHeight="1" x14ac:dyDescent="0.3">
      <c r="A14" s="34"/>
      <c r="B14" s="34"/>
      <c r="C14" s="34"/>
      <c r="H14" s="8"/>
      <c r="I14" s="9"/>
      <c r="J14" s="9"/>
      <c r="K14" s="9"/>
      <c r="L14" s="9"/>
      <c r="M14" s="4"/>
      <c r="N14" s="9"/>
    </row>
    <row r="15" spans="1:14" ht="14.25" customHeight="1" x14ac:dyDescent="0.3">
      <c r="A15" s="35" t="s">
        <v>22</v>
      </c>
      <c r="B15" s="36" t="s">
        <v>23</v>
      </c>
      <c r="C15" s="34"/>
      <c r="H15" s="8"/>
      <c r="I15" s="9"/>
      <c r="J15" s="9"/>
      <c r="K15" s="9"/>
      <c r="L15" s="9"/>
      <c r="M15" s="4"/>
      <c r="N15" s="9"/>
    </row>
    <row r="16" spans="1:14" ht="14.25" customHeight="1" x14ac:dyDescent="0.3">
      <c r="A16" s="17" t="s">
        <v>115</v>
      </c>
      <c r="B16" s="4">
        <v>18</v>
      </c>
      <c r="C16" s="34"/>
      <c r="H16" s="8"/>
      <c r="I16" s="9"/>
      <c r="J16" s="9"/>
      <c r="K16" s="9"/>
      <c r="L16" s="9"/>
      <c r="M16" s="4"/>
      <c r="N16" s="9"/>
    </row>
    <row r="17" spans="1:14" ht="14.25" customHeight="1" x14ac:dyDescent="0.3">
      <c r="A17" s="17" t="s">
        <v>67</v>
      </c>
      <c r="B17" s="4">
        <v>26</v>
      </c>
      <c r="C17" s="34"/>
      <c r="H17" s="8"/>
      <c r="I17" s="9"/>
      <c r="J17" s="9"/>
      <c r="K17" s="9"/>
      <c r="L17" s="9"/>
      <c r="M17" s="4"/>
      <c r="N17" s="9"/>
    </row>
    <row r="18" spans="1:14" ht="14.25" customHeight="1" x14ac:dyDescent="0.3">
      <c r="A18" s="17" t="s">
        <v>71</v>
      </c>
      <c r="B18" s="4">
        <v>19</v>
      </c>
      <c r="C18" s="34"/>
      <c r="H18" s="8"/>
      <c r="I18" s="9"/>
      <c r="J18" s="9"/>
      <c r="K18" s="9"/>
      <c r="L18" s="9"/>
      <c r="M18" s="4"/>
      <c r="N18" s="9"/>
    </row>
    <row r="19" spans="1:14" ht="14.25" customHeight="1" x14ac:dyDescent="0.3">
      <c r="A19" s="17" t="s">
        <v>69</v>
      </c>
      <c r="B19" s="4">
        <v>9</v>
      </c>
      <c r="C19" s="34"/>
      <c r="H19" s="8"/>
      <c r="I19" s="9"/>
      <c r="J19" s="9"/>
      <c r="K19" s="9"/>
      <c r="L19" s="9"/>
      <c r="M19" s="4"/>
      <c r="N19" s="9"/>
    </row>
    <row r="20" spans="1:14" ht="14.25" customHeight="1" x14ac:dyDescent="0.3">
      <c r="A20" s="37" t="s">
        <v>29</v>
      </c>
      <c r="B20" s="10">
        <f>SUM(B16:B19)</f>
        <v>72</v>
      </c>
      <c r="C20" s="34"/>
      <c r="H20" s="8"/>
      <c r="I20" s="9"/>
      <c r="J20" s="9"/>
      <c r="K20" s="9"/>
      <c r="L20" s="9"/>
      <c r="M20" s="4"/>
      <c r="N20" s="9"/>
    </row>
    <row r="21" spans="1:14" ht="14.25" customHeight="1" x14ac:dyDescent="0.3">
      <c r="A21" s="34"/>
      <c r="B21" s="34"/>
      <c r="C21" s="34"/>
      <c r="H21" s="8"/>
      <c r="I21" s="9"/>
      <c r="J21" s="9"/>
      <c r="K21" s="9"/>
      <c r="L21" s="9"/>
      <c r="M21" s="4"/>
      <c r="N21" s="9"/>
    </row>
    <row r="22" spans="1:14" ht="14.25" customHeight="1" x14ac:dyDescent="0.3">
      <c r="A22" s="61" t="s">
        <v>30</v>
      </c>
      <c r="B22" s="62"/>
      <c r="C22" s="62"/>
      <c r="D22" s="62"/>
      <c r="E22" s="62"/>
      <c r="F22" s="62"/>
      <c r="H22" s="8"/>
      <c r="I22" s="9"/>
      <c r="J22" s="9"/>
      <c r="K22" s="9"/>
      <c r="L22" s="9"/>
      <c r="M22" s="4"/>
      <c r="N22" s="9"/>
    </row>
    <row r="23" spans="1:14" ht="39.75" customHeight="1" x14ac:dyDescent="0.3">
      <c r="A23" s="57"/>
      <c r="B23" s="58"/>
      <c r="C23" s="58"/>
      <c r="D23" s="58"/>
      <c r="E23" s="58"/>
      <c r="F23" s="58"/>
      <c r="H23" s="8"/>
      <c r="I23" s="9"/>
      <c r="J23" s="9"/>
      <c r="K23" s="9"/>
      <c r="L23" s="9"/>
      <c r="M23" s="4"/>
      <c r="N23" s="9"/>
    </row>
    <row r="24" spans="1:14" ht="14.25" customHeight="1" x14ac:dyDescent="0.3">
      <c r="A24" s="59"/>
      <c r="B24" s="60"/>
      <c r="C24" s="60"/>
      <c r="D24" s="60"/>
      <c r="E24" s="60"/>
      <c r="F24" s="60"/>
      <c r="H24" s="8"/>
      <c r="I24" s="9"/>
      <c r="J24" s="9"/>
      <c r="K24" s="9"/>
      <c r="L24" s="9"/>
      <c r="M24" s="4"/>
      <c r="N24" s="9"/>
    </row>
    <row r="25" spans="1:14" ht="14.25" customHeight="1" x14ac:dyDescent="0.3">
      <c r="A25" s="34"/>
      <c r="B25" s="34"/>
      <c r="C25" s="34"/>
      <c r="H25" s="8"/>
      <c r="I25" s="9"/>
      <c r="J25" s="9"/>
      <c r="K25" s="9"/>
      <c r="L25" s="9"/>
      <c r="M25" s="4"/>
      <c r="N25" s="9"/>
    </row>
    <row r="26" spans="1:14" ht="19.5" customHeight="1" x14ac:dyDescent="0.3">
      <c r="A26" s="65" t="s">
        <v>31</v>
      </c>
      <c r="B26" s="62"/>
      <c r="C26" s="62"/>
      <c r="D26" s="62"/>
      <c r="E26" s="62"/>
      <c r="F26" s="62"/>
      <c r="H26" s="8"/>
      <c r="I26" s="9"/>
      <c r="J26" s="9"/>
      <c r="K26" s="9"/>
      <c r="L26" s="9"/>
      <c r="M26" s="4"/>
      <c r="N26" s="9"/>
    </row>
    <row r="27" spans="1:14" ht="14.25" customHeight="1" x14ac:dyDescent="0.3">
      <c r="A27" s="10" t="s">
        <v>10</v>
      </c>
      <c r="B27" s="10" t="s">
        <v>11</v>
      </c>
      <c r="C27" s="10" t="s">
        <v>12</v>
      </c>
      <c r="H27" s="8"/>
      <c r="I27" s="9"/>
      <c r="J27" s="9"/>
      <c r="K27" s="9"/>
      <c r="L27" s="9"/>
      <c r="M27" s="4"/>
      <c r="N27" s="9"/>
    </row>
    <row r="28" spans="1:14" ht="14.25" customHeight="1" x14ac:dyDescent="0.3">
      <c r="A28" s="27" t="s">
        <v>13</v>
      </c>
      <c r="B28" s="28">
        <v>21</v>
      </c>
      <c r="C28" s="18"/>
    </row>
    <row r="29" spans="1:14" ht="14.25" customHeight="1" x14ac:dyDescent="0.3">
      <c r="A29" s="30" t="s">
        <v>14</v>
      </c>
      <c r="B29" s="31">
        <v>14</v>
      </c>
      <c r="C29" s="39"/>
    </row>
    <row r="30" spans="1:14" ht="14.25" customHeight="1" x14ac:dyDescent="0.3">
      <c r="A30" s="27" t="s">
        <v>15</v>
      </c>
      <c r="B30" s="28">
        <v>14</v>
      </c>
      <c r="C30" s="38"/>
    </row>
    <row r="31" spans="1:14" ht="14.25" customHeight="1" x14ac:dyDescent="0.3">
      <c r="A31" s="30" t="s">
        <v>16</v>
      </c>
      <c r="B31" s="31">
        <v>16</v>
      </c>
      <c r="C31" s="39">
        <f>C12+1</f>
        <v>46232</v>
      </c>
    </row>
    <row r="32" spans="1:14" ht="14.25" customHeight="1" x14ac:dyDescent="0.3">
      <c r="A32" s="27" t="s">
        <v>17</v>
      </c>
      <c r="B32" s="28">
        <v>63</v>
      </c>
      <c r="C32" s="38">
        <f>IF(C31="","",C31+B31)</f>
        <v>46248</v>
      </c>
    </row>
    <row r="33" spans="1:6" ht="14.25" customHeight="1" x14ac:dyDescent="0.3">
      <c r="A33" s="30" t="s">
        <v>18</v>
      </c>
      <c r="B33" s="31">
        <v>3</v>
      </c>
      <c r="C33" s="39">
        <f>IF(C32="","",C32+B32)</f>
        <v>46311</v>
      </c>
    </row>
    <row r="34" spans="1:6" ht="14.25" customHeight="1" x14ac:dyDescent="0.3">
      <c r="A34" s="27" t="s">
        <v>19</v>
      </c>
      <c r="B34" s="28">
        <v>7</v>
      </c>
      <c r="C34" s="38">
        <f>IF(C33="","",C33+B33)</f>
        <v>46314</v>
      </c>
    </row>
    <row r="35" spans="1:6" ht="14.25" customHeight="1" x14ac:dyDescent="0.3">
      <c r="A35" s="30" t="s">
        <v>20</v>
      </c>
      <c r="B35" s="31">
        <v>3</v>
      </c>
      <c r="C35" s="39">
        <f>IF(C34="","",C34+B34)</f>
        <v>46321</v>
      </c>
    </row>
    <row r="36" spans="1:6" ht="14.25" customHeight="1" x14ac:dyDescent="0.3">
      <c r="A36" s="27" t="s">
        <v>21</v>
      </c>
      <c r="B36" s="28"/>
      <c r="C36" s="38">
        <f>IF(C35="","",C35+B35)</f>
        <v>46324</v>
      </c>
    </row>
    <row r="37" spans="1:6" ht="14.25" customHeight="1" x14ac:dyDescent="0.3">
      <c r="A37" s="34"/>
      <c r="B37" s="34"/>
      <c r="C37" s="34"/>
    </row>
    <row r="38" spans="1:6" ht="14.25" customHeight="1" x14ac:dyDescent="0.3">
      <c r="A38" s="35" t="s">
        <v>22</v>
      </c>
      <c r="B38" s="36" t="s">
        <v>23</v>
      </c>
      <c r="C38" s="34"/>
    </row>
    <row r="39" spans="1:6" ht="14.25" customHeight="1" x14ac:dyDescent="0.3">
      <c r="A39" s="17"/>
      <c r="B39" s="4"/>
      <c r="C39" s="34"/>
    </row>
    <row r="40" spans="1:6" ht="14.25" customHeight="1" x14ac:dyDescent="0.3">
      <c r="A40" s="17"/>
      <c r="B40" s="4"/>
      <c r="C40" s="34"/>
    </row>
    <row r="41" spans="1:6" ht="14.25" customHeight="1" x14ac:dyDescent="0.3">
      <c r="A41" s="37" t="s">
        <v>29</v>
      </c>
      <c r="B41" s="10">
        <f>SUM(B39:B40)</f>
        <v>0</v>
      </c>
      <c r="C41" s="34"/>
    </row>
    <row r="42" spans="1:6" ht="14.25" customHeight="1" x14ac:dyDescent="0.3">
      <c r="A42" s="34"/>
      <c r="B42" s="34"/>
      <c r="C42" s="34"/>
    </row>
    <row r="43" spans="1:6" ht="14.25" customHeight="1" x14ac:dyDescent="0.3">
      <c r="A43" s="61" t="s">
        <v>30</v>
      </c>
      <c r="B43" s="62"/>
      <c r="C43" s="62"/>
      <c r="D43" s="62"/>
      <c r="E43" s="62"/>
      <c r="F43" s="62"/>
    </row>
    <row r="44" spans="1:6" ht="39.75" customHeight="1" x14ac:dyDescent="0.3">
      <c r="A44" s="57"/>
      <c r="B44" s="58"/>
      <c r="C44" s="58"/>
      <c r="D44" s="58"/>
      <c r="E44" s="58"/>
      <c r="F44" s="58"/>
    </row>
    <row r="45" spans="1:6" ht="14.25" customHeight="1" x14ac:dyDescent="0.3">
      <c r="A45" s="59"/>
      <c r="B45" s="60"/>
      <c r="C45" s="60"/>
      <c r="D45" s="60"/>
      <c r="E45" s="60"/>
      <c r="F45" s="60"/>
    </row>
    <row r="46" spans="1:6" ht="14.25" customHeight="1" x14ac:dyDescent="0.3">
      <c r="A46" s="34"/>
      <c r="B46" s="34"/>
      <c r="C46" s="34"/>
    </row>
    <row r="47" spans="1:6" ht="19.5" customHeight="1" x14ac:dyDescent="0.3">
      <c r="A47" s="65" t="s">
        <v>32</v>
      </c>
      <c r="B47" s="62"/>
      <c r="C47" s="62"/>
      <c r="D47" s="62"/>
      <c r="E47" s="62"/>
      <c r="F47" s="62"/>
    </row>
    <row r="48" spans="1:6" ht="14.25" customHeight="1" x14ac:dyDescent="0.3">
      <c r="A48" s="10" t="s">
        <v>10</v>
      </c>
      <c r="B48" s="10" t="s">
        <v>11</v>
      </c>
      <c r="C48" s="10" t="s">
        <v>12</v>
      </c>
    </row>
    <row r="49" spans="1:6" ht="14.25" customHeight="1" x14ac:dyDescent="0.3">
      <c r="A49" s="27" t="s">
        <v>13</v>
      </c>
      <c r="B49" s="28">
        <v>21</v>
      </c>
      <c r="C49" s="18"/>
    </row>
    <row r="50" spans="1:6" ht="14.25" customHeight="1" x14ac:dyDescent="0.3">
      <c r="A50" s="30" t="s">
        <v>14</v>
      </c>
      <c r="B50" s="31">
        <v>14</v>
      </c>
      <c r="C50" s="32"/>
    </row>
    <row r="51" spans="1:6" ht="14.25" customHeight="1" x14ac:dyDescent="0.3">
      <c r="A51" s="27" t="s">
        <v>15</v>
      </c>
      <c r="B51" s="28">
        <v>14</v>
      </c>
      <c r="C51" s="29"/>
    </row>
    <row r="52" spans="1:6" ht="14.25" customHeight="1" x14ac:dyDescent="0.3">
      <c r="A52" s="30" t="s">
        <v>16</v>
      </c>
      <c r="B52" s="31">
        <v>16</v>
      </c>
      <c r="C52" s="39">
        <f>C35+1</f>
        <v>46322</v>
      </c>
    </row>
    <row r="53" spans="1:6" ht="14.25" customHeight="1" x14ac:dyDescent="0.3">
      <c r="A53" s="27" t="s">
        <v>17</v>
      </c>
      <c r="B53" s="28">
        <v>63</v>
      </c>
      <c r="C53" s="29">
        <f>IF(C52="","",C52+B52)</f>
        <v>46338</v>
      </c>
    </row>
    <row r="54" spans="1:6" ht="14.25" customHeight="1" x14ac:dyDescent="0.3">
      <c r="A54" s="30" t="s">
        <v>18</v>
      </c>
      <c r="B54" s="31">
        <v>1</v>
      </c>
      <c r="C54" s="32">
        <f>IF(C53="","",C53+B53)</f>
        <v>46401</v>
      </c>
    </row>
    <row r="55" spans="1:6" ht="14.25" customHeight="1" x14ac:dyDescent="0.3">
      <c r="A55" s="27" t="s">
        <v>19</v>
      </c>
      <c r="B55" s="28">
        <v>7</v>
      </c>
      <c r="C55" s="29">
        <f>IF(C54="","",C54+B54)</f>
        <v>46402</v>
      </c>
    </row>
    <row r="56" spans="1:6" ht="14.25" customHeight="1" x14ac:dyDescent="0.3">
      <c r="A56" s="30" t="s">
        <v>20</v>
      </c>
      <c r="B56" s="31">
        <v>3</v>
      </c>
      <c r="C56" s="32">
        <f>IF(C55="","",C55+B55)</f>
        <v>46409</v>
      </c>
    </row>
    <row r="57" spans="1:6" ht="14.25" customHeight="1" x14ac:dyDescent="0.3">
      <c r="A57" s="27" t="s">
        <v>21</v>
      </c>
      <c r="B57" s="28"/>
      <c r="C57" s="29">
        <f>IF(C56="","",C56+B56)</f>
        <v>46412</v>
      </c>
    </row>
    <row r="58" spans="1:6" ht="14.25" customHeight="1" x14ac:dyDescent="0.3">
      <c r="A58" s="34"/>
      <c r="B58" s="34"/>
      <c r="C58" s="34"/>
    </row>
    <row r="59" spans="1:6" ht="14.25" customHeight="1" x14ac:dyDescent="0.3">
      <c r="A59" s="35" t="s">
        <v>22</v>
      </c>
      <c r="B59" s="36" t="s">
        <v>23</v>
      </c>
      <c r="C59" s="34"/>
    </row>
    <row r="60" spans="1:6" ht="14.25" customHeight="1" x14ac:dyDescent="0.3">
      <c r="A60" s="17"/>
      <c r="B60" s="4"/>
      <c r="C60" s="34"/>
    </row>
    <row r="61" spans="1:6" ht="14.25" customHeight="1" x14ac:dyDescent="0.3">
      <c r="A61" s="17"/>
      <c r="B61" s="4"/>
      <c r="C61" s="34"/>
    </row>
    <row r="62" spans="1:6" ht="14.25" customHeight="1" x14ac:dyDescent="0.3">
      <c r="A62" s="37" t="s">
        <v>29</v>
      </c>
      <c r="B62" s="10">
        <f>SUM(B60:B61)</f>
        <v>0</v>
      </c>
      <c r="C62" s="34"/>
    </row>
    <row r="63" spans="1:6" ht="14.25" customHeight="1" x14ac:dyDescent="0.3">
      <c r="A63" s="34"/>
      <c r="B63" s="34"/>
      <c r="C63" s="34"/>
    </row>
    <row r="64" spans="1:6" ht="14.25" customHeight="1" x14ac:dyDescent="0.3">
      <c r="A64" s="61" t="s">
        <v>30</v>
      </c>
      <c r="B64" s="62"/>
      <c r="C64" s="62"/>
      <c r="D64" s="62"/>
      <c r="E64" s="62"/>
      <c r="F64" s="62"/>
    </row>
    <row r="65" spans="1:6" ht="39.75" customHeight="1" x14ac:dyDescent="0.3">
      <c r="A65" s="57"/>
      <c r="B65" s="58"/>
      <c r="C65" s="58"/>
      <c r="D65" s="58"/>
      <c r="E65" s="58"/>
      <c r="F65" s="58"/>
    </row>
    <row r="66" spans="1:6" ht="14.25" customHeight="1" x14ac:dyDescent="0.3">
      <c r="A66" s="59"/>
      <c r="B66" s="60"/>
      <c r="C66" s="60"/>
      <c r="D66" s="60"/>
      <c r="E66" s="60"/>
      <c r="F66" s="60"/>
    </row>
    <row r="67" spans="1:6" ht="14.25" customHeight="1" x14ac:dyDescent="0.3">
      <c r="A67" s="34"/>
      <c r="B67" s="34"/>
      <c r="C67" s="34"/>
    </row>
    <row r="68" spans="1:6" ht="19.5" customHeight="1" x14ac:dyDescent="0.3">
      <c r="A68" s="65" t="s">
        <v>33</v>
      </c>
      <c r="B68" s="62"/>
      <c r="C68" s="62"/>
      <c r="D68" s="62"/>
      <c r="E68" s="62"/>
      <c r="F68" s="62"/>
    </row>
    <row r="69" spans="1:6" ht="14.25" customHeight="1" x14ac:dyDescent="0.3">
      <c r="A69" s="10" t="s">
        <v>10</v>
      </c>
      <c r="B69" s="10" t="s">
        <v>11</v>
      </c>
      <c r="C69" s="10" t="s">
        <v>12</v>
      </c>
    </row>
    <row r="70" spans="1:6" ht="14.25" customHeight="1" x14ac:dyDescent="0.3">
      <c r="A70" s="27" t="s">
        <v>13</v>
      </c>
      <c r="B70" s="28">
        <v>21</v>
      </c>
      <c r="C70" s="18"/>
    </row>
    <row r="71" spans="1:6" ht="14.25" customHeight="1" x14ac:dyDescent="0.3">
      <c r="A71" s="30" t="s">
        <v>14</v>
      </c>
      <c r="B71" s="31">
        <v>14</v>
      </c>
      <c r="C71" s="39"/>
    </row>
    <row r="72" spans="1:6" ht="14.25" customHeight="1" x14ac:dyDescent="0.3">
      <c r="A72" s="27" t="s">
        <v>15</v>
      </c>
      <c r="B72" s="28">
        <v>14</v>
      </c>
      <c r="C72" s="38"/>
    </row>
    <row r="73" spans="1:6" ht="14.25" customHeight="1" x14ac:dyDescent="0.3">
      <c r="A73" s="30" t="s">
        <v>16</v>
      </c>
      <c r="B73" s="31">
        <v>16</v>
      </c>
      <c r="C73" s="39">
        <f>C56+1</f>
        <v>46410</v>
      </c>
    </row>
    <row r="74" spans="1:6" ht="14.25" customHeight="1" x14ac:dyDescent="0.3">
      <c r="A74" s="27" t="s">
        <v>17</v>
      </c>
      <c r="B74" s="28">
        <v>63</v>
      </c>
      <c r="C74" s="38">
        <f>IF(C73="","",C73+B73)</f>
        <v>46426</v>
      </c>
    </row>
    <row r="75" spans="1:6" ht="14.25" customHeight="1" x14ac:dyDescent="0.3">
      <c r="A75" s="30" t="s">
        <v>18</v>
      </c>
      <c r="B75" s="31">
        <v>3</v>
      </c>
      <c r="C75" s="39">
        <f>IF(C74="","",C74+B74)</f>
        <v>46489</v>
      </c>
    </row>
    <row r="76" spans="1:6" ht="14.25" customHeight="1" x14ac:dyDescent="0.3">
      <c r="A76" s="27" t="s">
        <v>19</v>
      </c>
      <c r="B76" s="28">
        <v>7</v>
      </c>
      <c r="C76" s="38">
        <f>IF(C75="","",C75+B75)</f>
        <v>46492</v>
      </c>
    </row>
    <row r="77" spans="1:6" ht="14.25" customHeight="1" x14ac:dyDescent="0.3">
      <c r="A77" s="30" t="s">
        <v>20</v>
      </c>
      <c r="B77" s="31">
        <v>3</v>
      </c>
      <c r="C77" s="39">
        <f>IF(C76="","",C76+B76)</f>
        <v>46499</v>
      </c>
    </row>
    <row r="78" spans="1:6" ht="14.25" customHeight="1" x14ac:dyDescent="0.3">
      <c r="A78" s="27" t="s">
        <v>21</v>
      </c>
      <c r="B78" s="28"/>
      <c r="C78" s="38">
        <f>IF(C77="","",C77+B77)</f>
        <v>46502</v>
      </c>
    </row>
    <row r="79" spans="1:6" ht="14.25" customHeight="1" x14ac:dyDescent="0.3">
      <c r="A79" s="34"/>
      <c r="B79" s="34"/>
      <c r="C79" s="34"/>
    </row>
    <row r="80" spans="1:6" ht="14.25" customHeight="1" x14ac:dyDescent="0.3">
      <c r="A80" s="35" t="s">
        <v>22</v>
      </c>
      <c r="B80" s="36" t="s">
        <v>23</v>
      </c>
      <c r="C80" s="34"/>
    </row>
    <row r="81" spans="1:6" ht="14.25" customHeight="1" x14ac:dyDescent="0.3">
      <c r="A81" s="17"/>
      <c r="B81" s="4"/>
      <c r="C81" s="34"/>
    </row>
    <row r="82" spans="1:6" ht="14.25" customHeight="1" x14ac:dyDescent="0.3">
      <c r="A82" s="17"/>
      <c r="B82" s="4"/>
      <c r="C82" s="34"/>
    </row>
    <row r="83" spans="1:6" ht="14.25" customHeight="1" x14ac:dyDescent="0.3">
      <c r="A83" s="37" t="s">
        <v>29</v>
      </c>
      <c r="B83" s="10">
        <f>SUM(B81:B82)</f>
        <v>0</v>
      </c>
      <c r="C83" s="34"/>
    </row>
    <row r="84" spans="1:6" ht="14.25" customHeight="1" x14ac:dyDescent="0.3">
      <c r="A84" s="34"/>
      <c r="B84" s="34"/>
      <c r="C84" s="34"/>
    </row>
    <row r="85" spans="1:6" ht="14.25" customHeight="1" x14ac:dyDescent="0.3">
      <c r="A85" s="61" t="s">
        <v>30</v>
      </c>
      <c r="B85" s="62"/>
      <c r="C85" s="62"/>
      <c r="D85" s="62"/>
      <c r="E85" s="62"/>
      <c r="F85" s="62"/>
    </row>
    <row r="86" spans="1:6" ht="39.75" customHeight="1" x14ac:dyDescent="0.3">
      <c r="A86" s="57"/>
      <c r="B86" s="58"/>
      <c r="C86" s="58"/>
      <c r="D86" s="58"/>
      <c r="E86" s="58"/>
      <c r="F86" s="58"/>
    </row>
    <row r="87" spans="1:6" ht="14.25" customHeight="1" x14ac:dyDescent="0.3">
      <c r="A87" s="59"/>
      <c r="B87" s="60"/>
      <c r="C87" s="60"/>
      <c r="D87" s="60"/>
      <c r="E87" s="60"/>
      <c r="F87" s="60"/>
    </row>
    <row r="88" spans="1:6" ht="14.25" customHeight="1" x14ac:dyDescent="0.3">
      <c r="A88" s="34"/>
      <c r="B88" s="34"/>
      <c r="C88" s="34"/>
    </row>
    <row r="89" spans="1:6" ht="19.5" customHeight="1" x14ac:dyDescent="0.3">
      <c r="A89" s="65" t="s">
        <v>34</v>
      </c>
      <c r="B89" s="62"/>
      <c r="C89" s="62"/>
      <c r="D89" s="62"/>
      <c r="E89" s="62"/>
      <c r="F89" s="62"/>
    </row>
    <row r="90" spans="1:6" ht="14.25" customHeight="1" x14ac:dyDescent="0.3">
      <c r="A90" s="10" t="s">
        <v>10</v>
      </c>
      <c r="B90" s="10" t="s">
        <v>11</v>
      </c>
      <c r="C90" s="10" t="s">
        <v>12</v>
      </c>
    </row>
    <row r="91" spans="1:6" ht="14.25" customHeight="1" x14ac:dyDescent="0.3">
      <c r="A91" s="27" t="s">
        <v>13</v>
      </c>
      <c r="B91" s="28">
        <v>21</v>
      </c>
      <c r="C91" s="18"/>
    </row>
    <row r="92" spans="1:6" ht="14.25" customHeight="1" x14ac:dyDescent="0.3">
      <c r="A92" s="30" t="s">
        <v>14</v>
      </c>
      <c r="B92" s="31">
        <v>14</v>
      </c>
      <c r="C92" s="39"/>
    </row>
    <row r="93" spans="1:6" ht="14.25" customHeight="1" x14ac:dyDescent="0.3">
      <c r="A93" s="27" t="s">
        <v>15</v>
      </c>
      <c r="B93" s="28">
        <v>14</v>
      </c>
      <c r="C93" s="38"/>
    </row>
    <row r="94" spans="1:6" ht="14.25" customHeight="1" x14ac:dyDescent="0.3">
      <c r="A94" s="30" t="s">
        <v>16</v>
      </c>
      <c r="B94" s="31">
        <v>16</v>
      </c>
      <c r="C94" s="39">
        <f>C77+1</f>
        <v>46500</v>
      </c>
    </row>
    <row r="95" spans="1:6" ht="14.25" customHeight="1" x14ac:dyDescent="0.3">
      <c r="A95" s="27" t="s">
        <v>17</v>
      </c>
      <c r="B95" s="28">
        <v>63</v>
      </c>
      <c r="C95" s="38">
        <f>IF(C94="","",C94+B94)</f>
        <v>46516</v>
      </c>
    </row>
    <row r="96" spans="1:6" ht="14.25" customHeight="1" x14ac:dyDescent="0.3">
      <c r="A96" s="30" t="s">
        <v>18</v>
      </c>
      <c r="B96" s="31">
        <v>3</v>
      </c>
      <c r="C96" s="39">
        <f>IF(C95="","",C95+B95)</f>
        <v>46579</v>
      </c>
    </row>
    <row r="97" spans="1:6" ht="14.25" customHeight="1" x14ac:dyDescent="0.3">
      <c r="A97" s="27" t="s">
        <v>19</v>
      </c>
      <c r="B97" s="28">
        <v>7</v>
      </c>
      <c r="C97" s="38">
        <f>IF(C96="","",C96+B96)</f>
        <v>46582</v>
      </c>
    </row>
    <row r="98" spans="1:6" ht="14.25" customHeight="1" x14ac:dyDescent="0.3">
      <c r="A98" s="30" t="s">
        <v>20</v>
      </c>
      <c r="B98" s="31">
        <v>3</v>
      </c>
      <c r="C98" s="39">
        <f>IF(C97="","",C97+B97)</f>
        <v>46589</v>
      </c>
    </row>
    <row r="99" spans="1:6" ht="14.25" customHeight="1" x14ac:dyDescent="0.3">
      <c r="A99" s="27" t="s">
        <v>21</v>
      </c>
      <c r="B99" s="28"/>
      <c r="C99" s="38">
        <f>IF(C98="","",C98+B98)</f>
        <v>46592</v>
      </c>
    </row>
    <row r="100" spans="1:6" ht="14.25" customHeight="1" x14ac:dyDescent="0.3">
      <c r="A100" s="34"/>
      <c r="B100" s="34"/>
      <c r="C100" s="34"/>
    </row>
    <row r="101" spans="1:6" ht="14.25" customHeight="1" x14ac:dyDescent="0.3">
      <c r="A101" s="35" t="s">
        <v>22</v>
      </c>
      <c r="B101" s="36" t="s">
        <v>23</v>
      </c>
      <c r="C101" s="34"/>
    </row>
    <row r="102" spans="1:6" ht="14.25" customHeight="1" x14ac:dyDescent="0.3">
      <c r="A102" s="17"/>
      <c r="B102" s="4"/>
      <c r="C102" s="34"/>
    </row>
    <row r="103" spans="1:6" ht="14.25" customHeight="1" x14ac:dyDescent="0.3">
      <c r="A103" s="17"/>
      <c r="B103" s="4"/>
      <c r="C103" s="34"/>
    </row>
    <row r="104" spans="1:6" ht="14.25" customHeight="1" x14ac:dyDescent="0.3">
      <c r="A104" s="37" t="s">
        <v>29</v>
      </c>
      <c r="B104" s="10">
        <f>SUM(B102:B103)</f>
        <v>0</v>
      </c>
      <c r="C104" s="34"/>
    </row>
    <row r="105" spans="1:6" ht="14.25" customHeight="1" x14ac:dyDescent="0.3">
      <c r="A105" s="34"/>
      <c r="B105" s="34"/>
      <c r="C105" s="34"/>
    </row>
    <row r="106" spans="1:6" ht="14.25" customHeight="1" x14ac:dyDescent="0.3">
      <c r="A106" s="61" t="s">
        <v>30</v>
      </c>
      <c r="B106" s="62"/>
      <c r="C106" s="62"/>
      <c r="D106" s="62"/>
      <c r="E106" s="62"/>
      <c r="F106" s="62"/>
    </row>
    <row r="107" spans="1:6" ht="39.75" customHeight="1" x14ac:dyDescent="0.3">
      <c r="A107" s="57"/>
      <c r="B107" s="58"/>
      <c r="C107" s="58"/>
      <c r="D107" s="58"/>
      <c r="E107" s="58"/>
      <c r="F107" s="58"/>
    </row>
    <row r="108" spans="1:6" ht="14.25" customHeight="1" x14ac:dyDescent="0.3">
      <c r="A108" s="59"/>
      <c r="B108" s="60"/>
      <c r="C108" s="60"/>
      <c r="D108" s="60"/>
      <c r="E108" s="60"/>
      <c r="F108" s="60"/>
    </row>
    <row r="109" spans="1:6" ht="14.25" customHeight="1" x14ac:dyDescent="0.3">
      <c r="A109" s="34"/>
      <c r="B109" s="34"/>
      <c r="C109" s="34"/>
    </row>
  </sheetData>
  <mergeCells count="17">
    <mergeCell ref="A43:F43"/>
    <mergeCell ref="A23:F24"/>
    <mergeCell ref="H1:M1"/>
    <mergeCell ref="A85:F85"/>
    <mergeCell ref="A107:F108"/>
    <mergeCell ref="A47:F47"/>
    <mergeCell ref="A68:F68"/>
    <mergeCell ref="A3:F3"/>
    <mergeCell ref="A1:F1"/>
    <mergeCell ref="A44:F45"/>
    <mergeCell ref="A89:F89"/>
    <mergeCell ref="A106:F106"/>
    <mergeCell ref="A65:F66"/>
    <mergeCell ref="A22:F22"/>
    <mergeCell ref="A26:F26"/>
    <mergeCell ref="A64:F64"/>
    <mergeCell ref="A86:F8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B4332"/>
  </sheetPr>
  <dimension ref="A1:N108"/>
  <sheetViews>
    <sheetView showGridLines="0" topLeftCell="A43" zoomScaleNormal="100" workbookViewId="0">
      <selection activeCell="R5" sqref="R5"/>
    </sheetView>
  </sheetViews>
  <sheetFormatPr baseColWidth="10" defaultColWidth="8.6640625" defaultRowHeight="14.4" x14ac:dyDescent="0.3"/>
  <cols>
    <col min="1" max="1" width="22" customWidth="1"/>
    <col min="2" max="2" width="8" customWidth="1"/>
    <col min="3" max="3" width="16" customWidth="1"/>
    <col min="4" max="4" width="2" customWidth="1"/>
    <col min="5" max="5" width="14" customWidth="1"/>
    <col min="6" max="6" width="16" customWidth="1"/>
    <col min="8" max="8" width="14" customWidth="1"/>
    <col min="9" max="9" width="8" customWidth="1"/>
    <col min="10" max="12" width="10" customWidth="1"/>
    <col min="13" max="13" width="13" customWidth="1"/>
    <col min="14" max="14" width="20" customWidth="1"/>
  </cols>
  <sheetData>
    <row r="1" spans="1:14" ht="30" customHeight="1" x14ac:dyDescent="0.3">
      <c r="A1" s="66" t="s">
        <v>116</v>
      </c>
      <c r="B1" s="64"/>
      <c r="C1" s="64"/>
      <c r="D1" s="64"/>
      <c r="E1" s="64"/>
      <c r="F1" s="64"/>
      <c r="H1" s="63" t="s">
        <v>1</v>
      </c>
      <c r="I1" s="64"/>
      <c r="J1" s="64"/>
      <c r="K1" s="64"/>
      <c r="L1" s="64"/>
      <c r="M1" s="64"/>
    </row>
    <row r="2" spans="1:14" ht="24" customHeight="1" x14ac:dyDescent="0.3">
      <c r="H2" s="7" t="s">
        <v>2</v>
      </c>
      <c r="I2" s="7" t="s">
        <v>3</v>
      </c>
      <c r="J2" s="7" t="s">
        <v>4</v>
      </c>
      <c r="K2" s="7" t="s">
        <v>5</v>
      </c>
      <c r="L2" s="7" t="s">
        <v>6</v>
      </c>
      <c r="M2" s="1" t="s">
        <v>7</v>
      </c>
      <c r="N2" s="7" t="s">
        <v>8</v>
      </c>
    </row>
    <row r="3" spans="1:14" ht="19.5" customHeight="1" x14ac:dyDescent="0.3">
      <c r="A3" s="65" t="s">
        <v>9</v>
      </c>
      <c r="B3" s="62"/>
      <c r="C3" s="62"/>
      <c r="D3" s="62"/>
      <c r="E3" s="62"/>
      <c r="F3" s="62"/>
      <c r="H3" s="8">
        <v>46184</v>
      </c>
      <c r="I3" s="9">
        <v>6</v>
      </c>
      <c r="J3" s="9">
        <v>2100</v>
      </c>
      <c r="K3" s="9"/>
      <c r="L3" s="9"/>
      <c r="M3" s="4"/>
      <c r="N3" s="9"/>
    </row>
    <row r="4" spans="1:14" ht="14.25" customHeight="1" x14ac:dyDescent="0.3">
      <c r="A4" s="10" t="s">
        <v>10</v>
      </c>
      <c r="B4" s="10" t="s">
        <v>11</v>
      </c>
      <c r="C4" s="10" t="s">
        <v>12</v>
      </c>
      <c r="H4" s="8"/>
      <c r="I4" s="9"/>
      <c r="J4" s="9"/>
      <c r="K4" s="9"/>
      <c r="L4" s="9"/>
      <c r="M4" s="4"/>
      <c r="N4" s="9"/>
    </row>
    <row r="5" spans="1:14" ht="14.25" customHeight="1" x14ac:dyDescent="0.3">
      <c r="A5" s="24" t="s">
        <v>13</v>
      </c>
      <c r="B5" s="25">
        <v>21</v>
      </c>
      <c r="C5" s="26">
        <v>46101</v>
      </c>
      <c r="H5" s="8"/>
      <c r="I5" s="9"/>
      <c r="J5" s="9"/>
      <c r="K5" s="9"/>
      <c r="L5" s="9"/>
      <c r="M5" s="4"/>
      <c r="N5" s="9"/>
    </row>
    <row r="6" spans="1:14" ht="14.25" customHeight="1" x14ac:dyDescent="0.3">
      <c r="A6" s="24" t="s">
        <v>14</v>
      </c>
      <c r="B6" s="25">
        <v>14</v>
      </c>
      <c r="C6" s="26">
        <f t="shared" ref="C6:C13" si="0">IF(C5="","",C5+B5)</f>
        <v>46122</v>
      </c>
      <c r="H6" s="8"/>
      <c r="I6" s="9"/>
      <c r="J6" s="9"/>
      <c r="K6" s="9"/>
      <c r="L6" s="9"/>
      <c r="M6" s="4"/>
      <c r="N6" s="9"/>
    </row>
    <row r="7" spans="1:14" ht="14.25" customHeight="1" x14ac:dyDescent="0.3">
      <c r="A7" s="24" t="s">
        <v>15</v>
      </c>
      <c r="B7" s="25">
        <v>14</v>
      </c>
      <c r="C7" s="26">
        <f t="shared" si="0"/>
        <v>46136</v>
      </c>
      <c r="H7" s="8"/>
      <c r="I7" s="9"/>
      <c r="J7" s="9"/>
      <c r="K7" s="9"/>
      <c r="L7" s="9"/>
      <c r="M7" s="4"/>
      <c r="N7" s="9"/>
    </row>
    <row r="8" spans="1:14" ht="14.25" customHeight="1" x14ac:dyDescent="0.3">
      <c r="A8" s="24" t="s">
        <v>16</v>
      </c>
      <c r="B8" s="25">
        <v>16</v>
      </c>
      <c r="C8" s="26">
        <f t="shared" si="0"/>
        <v>46150</v>
      </c>
      <c r="H8" s="8"/>
      <c r="I8" s="9"/>
      <c r="J8" s="9"/>
      <c r="K8" s="9"/>
      <c r="L8" s="9"/>
      <c r="M8" s="4"/>
      <c r="N8" s="9"/>
    </row>
    <row r="9" spans="1:14" ht="14.25" customHeight="1" x14ac:dyDescent="0.3">
      <c r="A9" s="24" t="s">
        <v>17</v>
      </c>
      <c r="B9" s="25">
        <v>63</v>
      </c>
      <c r="C9" s="26">
        <f t="shared" si="0"/>
        <v>46166</v>
      </c>
      <c r="H9" s="8"/>
      <c r="I9" s="9"/>
      <c r="J9" s="9"/>
      <c r="K9" s="9"/>
      <c r="L9" s="9"/>
      <c r="M9" s="4"/>
      <c r="N9" s="9"/>
    </row>
    <row r="10" spans="1:14" ht="14.25" customHeight="1" x14ac:dyDescent="0.3">
      <c r="A10" s="30" t="s">
        <v>18</v>
      </c>
      <c r="B10" s="31">
        <v>1</v>
      </c>
      <c r="C10" s="32">
        <f t="shared" si="0"/>
        <v>46229</v>
      </c>
      <c r="H10" s="8"/>
      <c r="I10" s="9"/>
      <c r="J10" s="9"/>
      <c r="K10" s="9"/>
      <c r="L10" s="9"/>
      <c r="M10" s="4"/>
      <c r="N10" s="9"/>
    </row>
    <row r="11" spans="1:14" ht="14.25" customHeight="1" x14ac:dyDescent="0.3">
      <c r="A11" s="27" t="s">
        <v>19</v>
      </c>
      <c r="B11" s="28">
        <v>7</v>
      </c>
      <c r="C11" s="29">
        <f t="shared" si="0"/>
        <v>46230</v>
      </c>
      <c r="H11" s="8"/>
      <c r="I11" s="9"/>
      <c r="J11" s="9"/>
      <c r="K11" s="9"/>
      <c r="L11" s="9"/>
      <c r="M11" s="4"/>
      <c r="N11" s="9"/>
    </row>
    <row r="12" spans="1:14" ht="14.25" customHeight="1" x14ac:dyDescent="0.3">
      <c r="A12" s="30" t="s">
        <v>20</v>
      </c>
      <c r="B12" s="31">
        <v>3</v>
      </c>
      <c r="C12" s="32">
        <f t="shared" si="0"/>
        <v>46237</v>
      </c>
      <c r="H12" s="8"/>
      <c r="I12" s="9"/>
      <c r="J12" s="9"/>
      <c r="K12" s="9"/>
      <c r="L12" s="9"/>
      <c r="M12" s="4"/>
      <c r="N12" s="9"/>
    </row>
    <row r="13" spans="1:14" ht="14.25" customHeight="1" x14ac:dyDescent="0.3">
      <c r="A13" s="27" t="s">
        <v>21</v>
      </c>
      <c r="B13" s="28"/>
      <c r="C13" s="29">
        <f t="shared" si="0"/>
        <v>46240</v>
      </c>
      <c r="H13" s="8"/>
      <c r="I13" s="9"/>
      <c r="J13" s="9"/>
      <c r="K13" s="9"/>
      <c r="L13" s="9"/>
      <c r="M13" s="4"/>
      <c r="N13" s="9"/>
    </row>
    <row r="14" spans="1:14" ht="14.25" customHeight="1" x14ac:dyDescent="0.3">
      <c r="A14" s="34"/>
      <c r="B14" s="34"/>
      <c r="C14" s="34"/>
      <c r="H14" s="8"/>
      <c r="I14" s="9"/>
      <c r="J14" s="9"/>
      <c r="K14" s="9"/>
      <c r="L14" s="9"/>
      <c r="M14" s="4"/>
      <c r="N14" s="9"/>
    </row>
    <row r="15" spans="1:14" ht="14.25" customHeight="1" x14ac:dyDescent="0.3">
      <c r="A15" s="35" t="s">
        <v>22</v>
      </c>
      <c r="B15" s="36" t="s">
        <v>23</v>
      </c>
      <c r="C15" s="34"/>
      <c r="H15" s="8"/>
      <c r="I15" s="9"/>
      <c r="J15" s="9"/>
      <c r="K15" s="9"/>
      <c r="L15" s="9"/>
      <c r="M15" s="4"/>
      <c r="N15" s="9"/>
    </row>
    <row r="16" spans="1:14" ht="14.25" customHeight="1" x14ac:dyDescent="0.3">
      <c r="A16" s="17" t="s">
        <v>26</v>
      </c>
      <c r="B16" s="4">
        <v>16</v>
      </c>
      <c r="C16" s="34"/>
      <c r="H16" s="8"/>
      <c r="I16" s="9"/>
      <c r="J16" s="9"/>
      <c r="K16" s="9"/>
      <c r="L16" s="9"/>
      <c r="M16" s="4"/>
      <c r="N16" s="9"/>
    </row>
    <row r="17" spans="1:14" ht="14.25" customHeight="1" x14ac:dyDescent="0.3">
      <c r="A17" s="17" t="s">
        <v>25</v>
      </c>
      <c r="B17" s="4">
        <v>12</v>
      </c>
      <c r="C17" s="34"/>
      <c r="H17" s="8"/>
      <c r="I17" s="9"/>
      <c r="J17" s="9"/>
      <c r="K17" s="9"/>
      <c r="L17" s="9"/>
      <c r="M17" s="4"/>
      <c r="N17" s="9"/>
    </row>
    <row r="18" spans="1:14" ht="14.25" customHeight="1" x14ac:dyDescent="0.3">
      <c r="A18" s="17" t="s">
        <v>28</v>
      </c>
      <c r="B18" s="4">
        <v>22</v>
      </c>
      <c r="C18" s="34"/>
      <c r="H18" s="8"/>
      <c r="I18" s="9"/>
      <c r="J18" s="9"/>
      <c r="K18" s="9"/>
      <c r="L18" s="9"/>
      <c r="M18" s="4"/>
      <c r="N18" s="9"/>
    </row>
    <row r="19" spans="1:14" ht="14.25" customHeight="1" x14ac:dyDescent="0.3">
      <c r="A19" s="37" t="s">
        <v>29</v>
      </c>
      <c r="B19" s="10">
        <f>SUM(B16:B18)</f>
        <v>50</v>
      </c>
      <c r="C19" s="34"/>
      <c r="H19" s="8"/>
      <c r="I19" s="9"/>
      <c r="J19" s="9"/>
      <c r="K19" s="9"/>
      <c r="L19" s="9"/>
      <c r="M19" s="4"/>
      <c r="N19" s="9"/>
    </row>
    <row r="20" spans="1:14" ht="14.25" customHeight="1" x14ac:dyDescent="0.3">
      <c r="A20" s="34"/>
      <c r="B20" s="34"/>
      <c r="C20" s="34"/>
      <c r="H20" s="8"/>
      <c r="I20" s="9"/>
      <c r="J20" s="9"/>
      <c r="K20" s="9"/>
      <c r="L20" s="9"/>
      <c r="M20" s="4"/>
      <c r="N20" s="9"/>
    </row>
    <row r="21" spans="1:14" ht="14.25" customHeight="1" x14ac:dyDescent="0.3">
      <c r="A21" s="61" t="s">
        <v>30</v>
      </c>
      <c r="B21" s="62"/>
      <c r="C21" s="62"/>
      <c r="D21" s="62"/>
      <c r="E21" s="62"/>
      <c r="F21" s="62"/>
      <c r="H21" s="8"/>
      <c r="I21" s="9"/>
      <c r="J21" s="9"/>
      <c r="K21" s="9"/>
      <c r="L21" s="9"/>
      <c r="M21" s="4"/>
      <c r="N21" s="9"/>
    </row>
    <row r="22" spans="1:14" ht="39.75" customHeight="1" x14ac:dyDescent="0.3">
      <c r="A22" s="57"/>
      <c r="B22" s="58"/>
      <c r="C22" s="58"/>
      <c r="D22" s="58"/>
      <c r="E22" s="58"/>
      <c r="F22" s="58"/>
      <c r="H22" s="8"/>
      <c r="I22" s="9"/>
      <c r="J22" s="9"/>
      <c r="K22" s="9"/>
      <c r="L22" s="9"/>
      <c r="M22" s="4"/>
      <c r="N22" s="9"/>
    </row>
    <row r="23" spans="1:14" ht="14.25" customHeight="1" x14ac:dyDescent="0.3">
      <c r="A23" s="59"/>
      <c r="B23" s="60"/>
      <c r="C23" s="60"/>
      <c r="D23" s="60"/>
      <c r="E23" s="60"/>
      <c r="F23" s="60"/>
      <c r="H23" s="8"/>
      <c r="I23" s="9"/>
      <c r="J23" s="9"/>
      <c r="K23" s="9"/>
      <c r="L23" s="9"/>
      <c r="M23" s="4"/>
      <c r="N23" s="9"/>
    </row>
    <row r="24" spans="1:14" ht="14.25" customHeight="1" x14ac:dyDescent="0.3">
      <c r="A24" s="34"/>
      <c r="B24" s="34"/>
      <c r="C24" s="34"/>
      <c r="H24" s="8"/>
      <c r="I24" s="9"/>
      <c r="J24" s="9"/>
      <c r="K24" s="9"/>
      <c r="L24" s="9"/>
      <c r="M24" s="4"/>
      <c r="N24" s="9"/>
    </row>
    <row r="25" spans="1:14" ht="19.5" customHeight="1" x14ac:dyDescent="0.3">
      <c r="A25" s="65" t="s">
        <v>31</v>
      </c>
      <c r="B25" s="62"/>
      <c r="C25" s="62"/>
      <c r="D25" s="62"/>
      <c r="E25" s="62"/>
      <c r="F25" s="62"/>
      <c r="H25" s="8"/>
      <c r="I25" s="9"/>
      <c r="J25" s="9"/>
      <c r="K25" s="9"/>
      <c r="L25" s="9"/>
      <c r="M25" s="4"/>
      <c r="N25" s="9"/>
    </row>
    <row r="26" spans="1:14" ht="14.25" customHeight="1" x14ac:dyDescent="0.3">
      <c r="A26" s="10" t="s">
        <v>10</v>
      </c>
      <c r="B26" s="10" t="s">
        <v>11</v>
      </c>
      <c r="C26" s="10" t="s">
        <v>12</v>
      </c>
      <c r="H26" s="8"/>
      <c r="I26" s="9"/>
      <c r="J26" s="9"/>
      <c r="K26" s="9"/>
      <c r="L26" s="9"/>
      <c r="M26" s="4"/>
      <c r="N26" s="9"/>
    </row>
    <row r="27" spans="1:14" ht="14.25" customHeight="1" x14ac:dyDescent="0.3">
      <c r="A27" s="27" t="s">
        <v>13</v>
      </c>
      <c r="B27" s="28">
        <v>21</v>
      </c>
      <c r="C27" s="18"/>
      <c r="H27" s="8"/>
      <c r="I27" s="9"/>
      <c r="J27" s="9"/>
      <c r="K27" s="9"/>
      <c r="L27" s="9"/>
      <c r="M27" s="4"/>
      <c r="N27" s="9"/>
    </row>
    <row r="28" spans="1:14" ht="14.25" customHeight="1" x14ac:dyDescent="0.3">
      <c r="A28" s="30" t="s">
        <v>14</v>
      </c>
      <c r="B28" s="31">
        <v>14</v>
      </c>
      <c r="C28" s="39"/>
    </row>
    <row r="29" spans="1:14" ht="14.25" customHeight="1" x14ac:dyDescent="0.3">
      <c r="A29" s="27" t="s">
        <v>15</v>
      </c>
      <c r="B29" s="28">
        <v>14</v>
      </c>
      <c r="C29" s="38"/>
    </row>
    <row r="30" spans="1:14" ht="14.25" customHeight="1" x14ac:dyDescent="0.3">
      <c r="A30" s="30" t="s">
        <v>16</v>
      </c>
      <c r="B30" s="31">
        <v>16</v>
      </c>
      <c r="C30" s="39">
        <f>C12+1</f>
        <v>46238</v>
      </c>
    </row>
    <row r="31" spans="1:14" ht="14.25" customHeight="1" x14ac:dyDescent="0.3">
      <c r="A31" s="27" t="s">
        <v>17</v>
      </c>
      <c r="B31" s="28">
        <v>63</v>
      </c>
      <c r="C31" s="38">
        <f>IF(C30="","",C30+B30)</f>
        <v>46254</v>
      </c>
    </row>
    <row r="32" spans="1:14" ht="14.25" customHeight="1" x14ac:dyDescent="0.3">
      <c r="A32" s="30" t="s">
        <v>18</v>
      </c>
      <c r="B32" s="31">
        <v>3</v>
      </c>
      <c r="C32" s="39">
        <f>IF(C31="","",C31+B31)</f>
        <v>46317</v>
      </c>
    </row>
    <row r="33" spans="1:6" ht="14.25" customHeight="1" x14ac:dyDescent="0.3">
      <c r="A33" s="27" t="s">
        <v>19</v>
      </c>
      <c r="B33" s="28">
        <v>7</v>
      </c>
      <c r="C33" s="38">
        <f>IF(C32="","",C32+B32)</f>
        <v>46320</v>
      </c>
    </row>
    <row r="34" spans="1:6" ht="14.25" customHeight="1" x14ac:dyDescent="0.3">
      <c r="A34" s="30" t="s">
        <v>20</v>
      </c>
      <c r="B34" s="31">
        <v>3</v>
      </c>
      <c r="C34" s="39">
        <f>IF(C33="","",C33+B33)</f>
        <v>46327</v>
      </c>
    </row>
    <row r="35" spans="1:6" ht="14.25" customHeight="1" x14ac:dyDescent="0.3">
      <c r="A35" s="27" t="s">
        <v>21</v>
      </c>
      <c r="B35" s="28"/>
      <c r="C35" s="38">
        <f>IF(C34="","",C34+B34)</f>
        <v>46330</v>
      </c>
    </row>
    <row r="36" spans="1:6" ht="14.25" customHeight="1" x14ac:dyDescent="0.3">
      <c r="A36" s="34"/>
      <c r="B36" s="34"/>
      <c r="C36" s="34"/>
    </row>
    <row r="37" spans="1:6" ht="14.25" customHeight="1" x14ac:dyDescent="0.3">
      <c r="A37" s="35" t="s">
        <v>22</v>
      </c>
      <c r="B37" s="36" t="s">
        <v>23</v>
      </c>
      <c r="C37" s="34"/>
    </row>
    <row r="38" spans="1:6" ht="14.25" customHeight="1" x14ac:dyDescent="0.3">
      <c r="A38" s="17"/>
      <c r="B38" s="4"/>
      <c r="C38" s="34"/>
    </row>
    <row r="39" spans="1:6" ht="14.25" customHeight="1" x14ac:dyDescent="0.3">
      <c r="A39" s="17"/>
      <c r="B39" s="4"/>
      <c r="C39" s="34"/>
    </row>
    <row r="40" spans="1:6" ht="14.25" customHeight="1" x14ac:dyDescent="0.3">
      <c r="A40" s="37" t="s">
        <v>29</v>
      </c>
      <c r="B40" s="10">
        <f>SUM(B38:B39)</f>
        <v>0</v>
      </c>
      <c r="C40" s="34"/>
    </row>
    <row r="41" spans="1:6" ht="14.25" customHeight="1" x14ac:dyDescent="0.3">
      <c r="A41" s="34"/>
      <c r="B41" s="34"/>
      <c r="C41" s="34"/>
    </row>
    <row r="42" spans="1:6" ht="14.25" customHeight="1" x14ac:dyDescent="0.3">
      <c r="A42" s="61" t="s">
        <v>30</v>
      </c>
      <c r="B42" s="62"/>
      <c r="C42" s="62"/>
      <c r="D42" s="62"/>
      <c r="E42" s="62"/>
      <c r="F42" s="62"/>
    </row>
    <row r="43" spans="1:6" ht="39.75" customHeight="1" x14ac:dyDescent="0.3">
      <c r="A43" s="57"/>
      <c r="B43" s="58"/>
      <c r="C43" s="58"/>
      <c r="D43" s="58"/>
      <c r="E43" s="58"/>
      <c r="F43" s="58"/>
    </row>
    <row r="44" spans="1:6" ht="14.25" customHeight="1" x14ac:dyDescent="0.3">
      <c r="A44" s="59"/>
      <c r="B44" s="60"/>
      <c r="C44" s="60"/>
      <c r="D44" s="60"/>
      <c r="E44" s="60"/>
      <c r="F44" s="60"/>
    </row>
    <row r="45" spans="1:6" ht="14.25" customHeight="1" x14ac:dyDescent="0.3">
      <c r="A45" s="34"/>
      <c r="B45" s="34"/>
      <c r="C45" s="34"/>
    </row>
    <row r="46" spans="1:6" ht="19.5" customHeight="1" x14ac:dyDescent="0.3">
      <c r="A46" s="65" t="s">
        <v>32</v>
      </c>
      <c r="B46" s="62"/>
      <c r="C46" s="62"/>
      <c r="D46" s="62"/>
      <c r="E46" s="62"/>
      <c r="F46" s="62"/>
    </row>
    <row r="47" spans="1:6" ht="14.25" customHeight="1" x14ac:dyDescent="0.3">
      <c r="A47" s="10" t="s">
        <v>10</v>
      </c>
      <c r="B47" s="10" t="s">
        <v>11</v>
      </c>
      <c r="C47" s="10" t="s">
        <v>12</v>
      </c>
    </row>
    <row r="48" spans="1:6" ht="14.25" customHeight="1" x14ac:dyDescent="0.3">
      <c r="A48" s="27" t="s">
        <v>13</v>
      </c>
      <c r="B48" s="28">
        <v>21</v>
      </c>
      <c r="C48" s="18"/>
    </row>
    <row r="49" spans="1:6" ht="14.25" customHeight="1" x14ac:dyDescent="0.3">
      <c r="A49" s="30" t="s">
        <v>14</v>
      </c>
      <c r="B49" s="31">
        <v>14</v>
      </c>
      <c r="C49" s="32"/>
    </row>
    <row r="50" spans="1:6" ht="14.25" customHeight="1" x14ac:dyDescent="0.3">
      <c r="A50" s="27" t="s">
        <v>15</v>
      </c>
      <c r="B50" s="28">
        <v>14</v>
      </c>
      <c r="C50" s="29"/>
    </row>
    <row r="51" spans="1:6" ht="14.25" customHeight="1" x14ac:dyDescent="0.3">
      <c r="A51" s="30" t="s">
        <v>16</v>
      </c>
      <c r="B51" s="31">
        <v>16</v>
      </c>
      <c r="C51" s="39">
        <f>C34+1</f>
        <v>46328</v>
      </c>
    </row>
    <row r="52" spans="1:6" ht="14.25" customHeight="1" x14ac:dyDescent="0.3">
      <c r="A52" s="27" t="s">
        <v>17</v>
      </c>
      <c r="B52" s="28">
        <v>63</v>
      </c>
      <c r="C52" s="29">
        <f>IF(C51="","",C51+B51)</f>
        <v>46344</v>
      </c>
    </row>
    <row r="53" spans="1:6" ht="14.25" customHeight="1" x14ac:dyDescent="0.3">
      <c r="A53" s="30" t="s">
        <v>18</v>
      </c>
      <c r="B53" s="31">
        <v>1</v>
      </c>
      <c r="C53" s="32">
        <f>IF(C52="","",C52+B52)</f>
        <v>46407</v>
      </c>
    </row>
    <row r="54" spans="1:6" ht="14.25" customHeight="1" x14ac:dyDescent="0.3">
      <c r="A54" s="27" t="s">
        <v>19</v>
      </c>
      <c r="B54" s="28">
        <v>7</v>
      </c>
      <c r="C54" s="29">
        <f>IF(C53="","",C53+B53)</f>
        <v>46408</v>
      </c>
    </row>
    <row r="55" spans="1:6" ht="14.25" customHeight="1" x14ac:dyDescent="0.3">
      <c r="A55" s="30" t="s">
        <v>20</v>
      </c>
      <c r="B55" s="31">
        <v>3</v>
      </c>
      <c r="C55" s="32">
        <f>IF(C54="","",C54+B54)</f>
        <v>46415</v>
      </c>
    </row>
    <row r="56" spans="1:6" ht="14.25" customHeight="1" x14ac:dyDescent="0.3">
      <c r="A56" s="27" t="s">
        <v>21</v>
      </c>
      <c r="B56" s="28"/>
      <c r="C56" s="29">
        <f>IF(C55="","",C55+B55)</f>
        <v>46418</v>
      </c>
    </row>
    <row r="57" spans="1:6" ht="14.25" customHeight="1" x14ac:dyDescent="0.3">
      <c r="A57" s="34"/>
      <c r="B57" s="34"/>
      <c r="C57" s="34"/>
    </row>
    <row r="58" spans="1:6" ht="14.25" customHeight="1" x14ac:dyDescent="0.3">
      <c r="A58" s="35" t="s">
        <v>22</v>
      </c>
      <c r="B58" s="36" t="s">
        <v>23</v>
      </c>
      <c r="C58" s="34"/>
    </row>
    <row r="59" spans="1:6" ht="14.25" customHeight="1" x14ac:dyDescent="0.3">
      <c r="A59" s="17"/>
      <c r="B59" s="4"/>
      <c r="C59" s="34"/>
    </row>
    <row r="60" spans="1:6" ht="14.25" customHeight="1" x14ac:dyDescent="0.3">
      <c r="A60" s="17"/>
      <c r="B60" s="4"/>
      <c r="C60" s="34"/>
    </row>
    <row r="61" spans="1:6" ht="14.25" customHeight="1" x14ac:dyDescent="0.3">
      <c r="A61" s="37" t="s">
        <v>29</v>
      </c>
      <c r="B61" s="10">
        <f>SUM(B59:B60)</f>
        <v>0</v>
      </c>
      <c r="C61" s="34"/>
    </row>
    <row r="62" spans="1:6" ht="14.25" customHeight="1" x14ac:dyDescent="0.3">
      <c r="A62" s="34"/>
      <c r="B62" s="34"/>
      <c r="C62" s="34"/>
    </row>
    <row r="63" spans="1:6" ht="14.25" customHeight="1" x14ac:dyDescent="0.3">
      <c r="A63" s="61" t="s">
        <v>30</v>
      </c>
      <c r="B63" s="62"/>
      <c r="C63" s="62"/>
      <c r="D63" s="62"/>
      <c r="E63" s="62"/>
      <c r="F63" s="62"/>
    </row>
    <row r="64" spans="1:6" ht="39.75" customHeight="1" x14ac:dyDescent="0.3">
      <c r="A64" s="57"/>
      <c r="B64" s="58"/>
      <c r="C64" s="58"/>
      <c r="D64" s="58"/>
      <c r="E64" s="58"/>
      <c r="F64" s="58"/>
    </row>
    <row r="65" spans="1:6" ht="14.25" customHeight="1" x14ac:dyDescent="0.3">
      <c r="A65" s="59"/>
      <c r="B65" s="60"/>
      <c r="C65" s="60"/>
      <c r="D65" s="60"/>
      <c r="E65" s="60"/>
      <c r="F65" s="60"/>
    </row>
    <row r="66" spans="1:6" ht="14.25" customHeight="1" x14ac:dyDescent="0.3">
      <c r="A66" s="34"/>
      <c r="B66" s="34"/>
      <c r="C66" s="34"/>
    </row>
    <row r="67" spans="1:6" ht="19.5" customHeight="1" x14ac:dyDescent="0.3">
      <c r="A67" s="65" t="s">
        <v>33</v>
      </c>
      <c r="B67" s="62"/>
      <c r="C67" s="62"/>
      <c r="D67" s="62"/>
      <c r="E67" s="62"/>
      <c r="F67" s="62"/>
    </row>
    <row r="68" spans="1:6" ht="14.25" customHeight="1" x14ac:dyDescent="0.3">
      <c r="A68" s="10" t="s">
        <v>10</v>
      </c>
      <c r="B68" s="10" t="s">
        <v>11</v>
      </c>
      <c r="C68" s="10" t="s">
        <v>12</v>
      </c>
    </row>
    <row r="69" spans="1:6" ht="14.25" customHeight="1" x14ac:dyDescent="0.3">
      <c r="A69" s="27" t="s">
        <v>13</v>
      </c>
      <c r="B69" s="28">
        <v>21</v>
      </c>
      <c r="C69" s="18"/>
    </row>
    <row r="70" spans="1:6" ht="14.25" customHeight="1" x14ac:dyDescent="0.3">
      <c r="A70" s="30" t="s">
        <v>14</v>
      </c>
      <c r="B70" s="31">
        <v>14</v>
      </c>
      <c r="C70" s="39"/>
    </row>
    <row r="71" spans="1:6" ht="14.25" customHeight="1" x14ac:dyDescent="0.3">
      <c r="A71" s="27" t="s">
        <v>15</v>
      </c>
      <c r="B71" s="28">
        <v>14</v>
      </c>
      <c r="C71" s="38"/>
    </row>
    <row r="72" spans="1:6" ht="14.25" customHeight="1" x14ac:dyDescent="0.3">
      <c r="A72" s="30" t="s">
        <v>16</v>
      </c>
      <c r="B72" s="31">
        <v>16</v>
      </c>
      <c r="C72" s="39">
        <f>C55+1</f>
        <v>46416</v>
      </c>
    </row>
    <row r="73" spans="1:6" ht="14.25" customHeight="1" x14ac:dyDescent="0.3">
      <c r="A73" s="27" t="s">
        <v>17</v>
      </c>
      <c r="B73" s="28">
        <v>63</v>
      </c>
      <c r="C73" s="38">
        <f>IF(C72="","",C72+B72)</f>
        <v>46432</v>
      </c>
    </row>
    <row r="74" spans="1:6" ht="14.25" customHeight="1" x14ac:dyDescent="0.3">
      <c r="A74" s="30" t="s">
        <v>18</v>
      </c>
      <c r="B74" s="31">
        <v>3</v>
      </c>
      <c r="C74" s="39">
        <f>IF(C73="","",C73+B73)</f>
        <v>46495</v>
      </c>
    </row>
    <row r="75" spans="1:6" ht="14.25" customHeight="1" x14ac:dyDescent="0.3">
      <c r="A75" s="27" t="s">
        <v>19</v>
      </c>
      <c r="B75" s="28">
        <v>7</v>
      </c>
      <c r="C75" s="38">
        <f>IF(C74="","",C74+B74)</f>
        <v>46498</v>
      </c>
    </row>
    <row r="76" spans="1:6" ht="14.25" customHeight="1" x14ac:dyDescent="0.3">
      <c r="A76" s="30" t="s">
        <v>20</v>
      </c>
      <c r="B76" s="31">
        <v>3</v>
      </c>
      <c r="C76" s="39">
        <f>IF(C75="","",C75+B75)</f>
        <v>46505</v>
      </c>
    </row>
    <row r="77" spans="1:6" ht="14.25" customHeight="1" x14ac:dyDescent="0.3">
      <c r="A77" s="27" t="s">
        <v>21</v>
      </c>
      <c r="B77" s="28"/>
      <c r="C77" s="38">
        <f>IF(C76="","",C76+B76)</f>
        <v>46508</v>
      </c>
    </row>
    <row r="78" spans="1:6" ht="14.25" customHeight="1" x14ac:dyDescent="0.3">
      <c r="A78" s="34"/>
      <c r="B78" s="34"/>
      <c r="C78" s="34"/>
    </row>
    <row r="79" spans="1:6" ht="14.25" customHeight="1" x14ac:dyDescent="0.3">
      <c r="A79" s="35" t="s">
        <v>22</v>
      </c>
      <c r="B79" s="36" t="s">
        <v>23</v>
      </c>
      <c r="C79" s="34"/>
    </row>
    <row r="80" spans="1:6" ht="14.25" customHeight="1" x14ac:dyDescent="0.3">
      <c r="A80" s="17"/>
      <c r="B80" s="4"/>
      <c r="C80" s="34"/>
    </row>
    <row r="81" spans="1:6" ht="14.25" customHeight="1" x14ac:dyDescent="0.3">
      <c r="A81" s="17"/>
      <c r="B81" s="4"/>
      <c r="C81" s="34"/>
    </row>
    <row r="82" spans="1:6" ht="14.25" customHeight="1" x14ac:dyDescent="0.3">
      <c r="A82" s="37" t="s">
        <v>29</v>
      </c>
      <c r="B82" s="10">
        <f>SUM(B80:B81)</f>
        <v>0</v>
      </c>
      <c r="C82" s="34"/>
    </row>
    <row r="83" spans="1:6" ht="14.25" customHeight="1" x14ac:dyDescent="0.3">
      <c r="A83" s="34"/>
      <c r="B83" s="34"/>
      <c r="C83" s="34"/>
    </row>
    <row r="84" spans="1:6" ht="14.25" customHeight="1" x14ac:dyDescent="0.3">
      <c r="A84" s="61" t="s">
        <v>30</v>
      </c>
      <c r="B84" s="62"/>
      <c r="C84" s="62"/>
      <c r="D84" s="62"/>
      <c r="E84" s="62"/>
      <c r="F84" s="62"/>
    </row>
    <row r="85" spans="1:6" ht="39.75" customHeight="1" x14ac:dyDescent="0.3">
      <c r="A85" s="57"/>
      <c r="B85" s="58"/>
      <c r="C85" s="58"/>
      <c r="D85" s="58"/>
      <c r="E85" s="58"/>
      <c r="F85" s="58"/>
    </row>
    <row r="86" spans="1:6" ht="14.25" customHeight="1" x14ac:dyDescent="0.3">
      <c r="A86" s="59"/>
      <c r="B86" s="60"/>
      <c r="C86" s="60"/>
      <c r="D86" s="60"/>
      <c r="E86" s="60"/>
      <c r="F86" s="60"/>
    </row>
    <row r="87" spans="1:6" ht="14.25" customHeight="1" x14ac:dyDescent="0.3">
      <c r="A87" s="34"/>
      <c r="B87" s="34"/>
      <c r="C87" s="34"/>
    </row>
    <row r="88" spans="1:6" ht="19.5" customHeight="1" x14ac:dyDescent="0.3">
      <c r="A88" s="65" t="s">
        <v>34</v>
      </c>
      <c r="B88" s="62"/>
      <c r="C88" s="62"/>
      <c r="D88" s="62"/>
      <c r="E88" s="62"/>
      <c r="F88" s="62"/>
    </row>
    <row r="89" spans="1:6" ht="14.25" customHeight="1" x14ac:dyDescent="0.3">
      <c r="A89" s="10" t="s">
        <v>10</v>
      </c>
      <c r="B89" s="10" t="s">
        <v>11</v>
      </c>
      <c r="C89" s="10" t="s">
        <v>12</v>
      </c>
    </row>
    <row r="90" spans="1:6" ht="14.25" customHeight="1" x14ac:dyDescent="0.3">
      <c r="A90" s="27" t="s">
        <v>13</v>
      </c>
      <c r="B90" s="28">
        <v>21</v>
      </c>
      <c r="C90" s="18"/>
    </row>
    <row r="91" spans="1:6" ht="14.25" customHeight="1" x14ac:dyDescent="0.3">
      <c r="A91" s="30" t="s">
        <v>14</v>
      </c>
      <c r="B91" s="31">
        <v>14</v>
      </c>
      <c r="C91" s="39"/>
    </row>
    <row r="92" spans="1:6" ht="14.25" customHeight="1" x14ac:dyDescent="0.3">
      <c r="A92" s="27" t="s">
        <v>15</v>
      </c>
      <c r="B92" s="28">
        <v>14</v>
      </c>
      <c r="C92" s="38"/>
    </row>
    <row r="93" spans="1:6" ht="14.25" customHeight="1" x14ac:dyDescent="0.3">
      <c r="A93" s="30" t="s">
        <v>16</v>
      </c>
      <c r="B93" s="31">
        <v>16</v>
      </c>
      <c r="C93" s="39">
        <f>C76+1</f>
        <v>46506</v>
      </c>
    </row>
    <row r="94" spans="1:6" ht="14.25" customHeight="1" x14ac:dyDescent="0.3">
      <c r="A94" s="27" t="s">
        <v>17</v>
      </c>
      <c r="B94" s="28">
        <v>63</v>
      </c>
      <c r="C94" s="38">
        <f>IF(C93="","",C93+B93)</f>
        <v>46522</v>
      </c>
    </row>
    <row r="95" spans="1:6" ht="14.25" customHeight="1" x14ac:dyDescent="0.3">
      <c r="A95" s="30" t="s">
        <v>18</v>
      </c>
      <c r="B95" s="31">
        <v>3</v>
      </c>
      <c r="C95" s="39">
        <f>IF(C94="","",C94+B94)</f>
        <v>46585</v>
      </c>
    </row>
    <row r="96" spans="1:6" ht="14.25" customHeight="1" x14ac:dyDescent="0.3">
      <c r="A96" s="27" t="s">
        <v>19</v>
      </c>
      <c r="B96" s="28">
        <v>7</v>
      </c>
      <c r="C96" s="38">
        <f>IF(C95="","",C95+B95)</f>
        <v>46588</v>
      </c>
    </row>
    <row r="97" spans="1:6" ht="14.25" customHeight="1" x14ac:dyDescent="0.3">
      <c r="A97" s="30" t="s">
        <v>20</v>
      </c>
      <c r="B97" s="31">
        <v>3</v>
      </c>
      <c r="C97" s="39">
        <f>IF(C96="","",C96+B96)</f>
        <v>46595</v>
      </c>
    </row>
    <row r="98" spans="1:6" ht="14.25" customHeight="1" x14ac:dyDescent="0.3">
      <c r="A98" s="27" t="s">
        <v>21</v>
      </c>
      <c r="B98" s="28"/>
      <c r="C98" s="38">
        <f>IF(C97="","",C97+B97)</f>
        <v>46598</v>
      </c>
    </row>
    <row r="99" spans="1:6" ht="14.25" customHeight="1" x14ac:dyDescent="0.3">
      <c r="A99" s="34"/>
      <c r="B99" s="34"/>
      <c r="C99" s="34"/>
    </row>
    <row r="100" spans="1:6" ht="14.25" customHeight="1" x14ac:dyDescent="0.3">
      <c r="A100" s="35" t="s">
        <v>22</v>
      </c>
      <c r="B100" s="36" t="s">
        <v>23</v>
      </c>
      <c r="C100" s="34"/>
    </row>
    <row r="101" spans="1:6" ht="14.25" customHeight="1" x14ac:dyDescent="0.3">
      <c r="A101" s="17"/>
      <c r="B101" s="4"/>
      <c r="C101" s="34"/>
    </row>
    <row r="102" spans="1:6" ht="14.25" customHeight="1" x14ac:dyDescent="0.3">
      <c r="A102" s="17"/>
      <c r="B102" s="4"/>
      <c r="C102" s="34"/>
    </row>
    <row r="103" spans="1:6" ht="14.25" customHeight="1" x14ac:dyDescent="0.3">
      <c r="A103" s="37" t="s">
        <v>29</v>
      </c>
      <c r="B103" s="10">
        <f>SUM(B101:B102)</f>
        <v>0</v>
      </c>
      <c r="C103" s="34"/>
    </row>
    <row r="104" spans="1:6" ht="14.25" customHeight="1" x14ac:dyDescent="0.3">
      <c r="A104" s="34"/>
      <c r="B104" s="34"/>
      <c r="C104" s="34"/>
    </row>
    <row r="105" spans="1:6" ht="14.25" customHeight="1" x14ac:dyDescent="0.3">
      <c r="A105" s="61" t="s">
        <v>30</v>
      </c>
      <c r="B105" s="62"/>
      <c r="C105" s="62"/>
      <c r="D105" s="62"/>
      <c r="E105" s="62"/>
      <c r="F105" s="62"/>
    </row>
    <row r="106" spans="1:6" ht="39.75" customHeight="1" x14ac:dyDescent="0.3">
      <c r="A106" s="57"/>
      <c r="B106" s="58"/>
      <c r="C106" s="58"/>
      <c r="D106" s="58"/>
      <c r="E106" s="58"/>
      <c r="F106" s="58"/>
    </row>
    <row r="107" spans="1:6" ht="14.25" customHeight="1" x14ac:dyDescent="0.3">
      <c r="A107" s="59"/>
      <c r="B107" s="60"/>
      <c r="C107" s="60"/>
      <c r="D107" s="60"/>
      <c r="E107" s="60"/>
      <c r="F107" s="60"/>
    </row>
    <row r="108" spans="1:6" ht="14.25" customHeight="1" x14ac:dyDescent="0.3">
      <c r="A108" s="34"/>
      <c r="B108" s="34"/>
      <c r="C108" s="34"/>
    </row>
  </sheetData>
  <mergeCells count="17">
    <mergeCell ref="A85:F86"/>
    <mergeCell ref="A106:F107"/>
    <mergeCell ref="A1:F1"/>
    <mergeCell ref="A67:F67"/>
    <mergeCell ref="A43:F44"/>
    <mergeCell ref="A105:F105"/>
    <mergeCell ref="A88:F88"/>
    <mergeCell ref="A22:F23"/>
    <mergeCell ref="A3:F3"/>
    <mergeCell ref="A21:F21"/>
    <mergeCell ref="A25:F25"/>
    <mergeCell ref="A64:F65"/>
    <mergeCell ref="A63:F63"/>
    <mergeCell ref="H1:M1"/>
    <mergeCell ref="A42:F42"/>
    <mergeCell ref="A46:F46"/>
    <mergeCell ref="A84:F8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B4332"/>
  </sheetPr>
  <dimension ref="A1:N102"/>
  <sheetViews>
    <sheetView showGridLines="0" zoomScaleNormal="100" workbookViewId="0">
      <selection activeCell="B17" sqref="B17"/>
    </sheetView>
  </sheetViews>
  <sheetFormatPr baseColWidth="10" defaultColWidth="8.6640625" defaultRowHeight="14.4" x14ac:dyDescent="0.3"/>
  <cols>
    <col min="1" max="1" width="22" customWidth="1"/>
    <col min="2" max="2" width="8" customWidth="1"/>
    <col min="3" max="3" width="16" customWidth="1"/>
    <col min="4" max="4" width="2" customWidth="1"/>
    <col min="5" max="5" width="14" customWidth="1"/>
    <col min="6" max="6" width="16" customWidth="1"/>
    <col min="8" max="8" width="14" customWidth="1"/>
    <col min="9" max="9" width="8" customWidth="1"/>
    <col min="10" max="12" width="10" customWidth="1"/>
    <col min="13" max="13" width="13" customWidth="1"/>
    <col min="14" max="14" width="20" customWidth="1"/>
  </cols>
  <sheetData>
    <row r="1" spans="1:14" ht="30" customHeight="1" x14ac:dyDescent="0.3">
      <c r="A1" s="66" t="s">
        <v>117</v>
      </c>
      <c r="B1" s="64"/>
      <c r="C1" s="64"/>
      <c r="D1" s="64"/>
      <c r="E1" s="64"/>
      <c r="F1" s="64"/>
      <c r="H1" s="63" t="s">
        <v>1</v>
      </c>
      <c r="I1" s="64"/>
      <c r="J1" s="64"/>
      <c r="K1" s="64"/>
      <c r="L1" s="64"/>
      <c r="M1" s="64"/>
    </row>
    <row r="2" spans="1:14" ht="24" customHeight="1" x14ac:dyDescent="0.3">
      <c r="H2" s="7" t="s">
        <v>2</v>
      </c>
      <c r="I2" s="7" t="s">
        <v>3</v>
      </c>
      <c r="J2" s="7" t="s">
        <v>4</v>
      </c>
      <c r="K2" s="7" t="s">
        <v>5</v>
      </c>
      <c r="L2" s="7" t="s">
        <v>6</v>
      </c>
      <c r="M2" s="1" t="s">
        <v>7</v>
      </c>
      <c r="N2" s="7" t="s">
        <v>8</v>
      </c>
    </row>
    <row r="3" spans="1:14" ht="19.5" customHeight="1" x14ac:dyDescent="0.3">
      <c r="A3" s="65" t="s">
        <v>9</v>
      </c>
      <c r="B3" s="62"/>
      <c r="C3" s="62"/>
      <c r="D3" s="62"/>
      <c r="E3" s="62"/>
      <c r="F3" s="62"/>
      <c r="H3" s="8">
        <v>46184</v>
      </c>
      <c r="I3" s="9">
        <v>6.1</v>
      </c>
      <c r="J3" s="9">
        <v>2150</v>
      </c>
      <c r="K3" s="9"/>
      <c r="L3" s="9"/>
      <c r="M3" s="4"/>
      <c r="N3" s="9"/>
    </row>
    <row r="4" spans="1:14" ht="14.25" customHeight="1" x14ac:dyDescent="0.3">
      <c r="A4" s="10" t="s">
        <v>10</v>
      </c>
      <c r="B4" s="10" t="s">
        <v>11</v>
      </c>
      <c r="C4" s="10" t="s">
        <v>12</v>
      </c>
      <c r="H4" s="8"/>
      <c r="I4" s="9"/>
      <c r="J4" s="9"/>
      <c r="K4" s="9"/>
      <c r="L4" s="9"/>
      <c r="M4" s="4"/>
      <c r="N4" s="9"/>
    </row>
    <row r="5" spans="1:14" ht="14.25" customHeight="1" x14ac:dyDescent="0.3">
      <c r="A5" s="24" t="s">
        <v>13</v>
      </c>
      <c r="B5" s="25">
        <v>21</v>
      </c>
      <c r="C5" s="26">
        <v>46113</v>
      </c>
      <c r="H5" s="8"/>
      <c r="I5" s="9"/>
      <c r="J5" s="9"/>
      <c r="K5" s="9"/>
      <c r="L5" s="9"/>
      <c r="M5" s="4"/>
      <c r="N5" s="9"/>
    </row>
    <row r="6" spans="1:14" ht="14.25" customHeight="1" x14ac:dyDescent="0.3">
      <c r="A6" s="24" t="s">
        <v>14</v>
      </c>
      <c r="B6" s="25">
        <v>14</v>
      </c>
      <c r="C6" s="26">
        <f t="shared" ref="C6:C13" si="0">IF(C5="","",C5+B5)</f>
        <v>46134</v>
      </c>
      <c r="H6" s="8"/>
      <c r="I6" s="9"/>
      <c r="J6" s="9"/>
      <c r="K6" s="9"/>
      <c r="L6" s="9"/>
      <c r="M6" s="4"/>
      <c r="N6" s="9"/>
    </row>
    <row r="7" spans="1:14" ht="14.25" customHeight="1" x14ac:dyDescent="0.3">
      <c r="A7" s="24" t="s">
        <v>15</v>
      </c>
      <c r="B7" s="25">
        <v>14</v>
      </c>
      <c r="C7" s="26">
        <f t="shared" si="0"/>
        <v>46148</v>
      </c>
      <c r="H7" s="8"/>
      <c r="I7" s="9"/>
      <c r="J7" s="9"/>
      <c r="K7" s="9"/>
      <c r="L7" s="9"/>
      <c r="M7" s="4"/>
      <c r="N7" s="9"/>
    </row>
    <row r="8" spans="1:14" ht="14.25" customHeight="1" x14ac:dyDescent="0.3">
      <c r="A8" s="24" t="s">
        <v>16</v>
      </c>
      <c r="B8" s="25">
        <v>16</v>
      </c>
      <c r="C8" s="26">
        <f t="shared" si="0"/>
        <v>46162</v>
      </c>
      <c r="H8" s="8"/>
      <c r="I8" s="9"/>
      <c r="J8" s="9"/>
      <c r="K8" s="9"/>
      <c r="L8" s="9"/>
      <c r="M8" s="4"/>
      <c r="N8" s="9"/>
    </row>
    <row r="9" spans="1:14" ht="14.25" customHeight="1" x14ac:dyDescent="0.3">
      <c r="A9" s="24" t="s">
        <v>17</v>
      </c>
      <c r="B9" s="25">
        <v>63</v>
      </c>
      <c r="C9" s="26">
        <f t="shared" si="0"/>
        <v>46178</v>
      </c>
      <c r="H9" s="8"/>
      <c r="I9" s="9"/>
      <c r="J9" s="9"/>
      <c r="K9" s="9"/>
      <c r="L9" s="9"/>
      <c r="M9" s="4"/>
      <c r="N9" s="9"/>
    </row>
    <row r="10" spans="1:14" ht="14.25" customHeight="1" x14ac:dyDescent="0.3">
      <c r="A10" s="30" t="s">
        <v>18</v>
      </c>
      <c r="B10" s="31">
        <v>1</v>
      </c>
      <c r="C10" s="32">
        <f t="shared" si="0"/>
        <v>46241</v>
      </c>
      <c r="H10" s="8"/>
      <c r="I10" s="9"/>
      <c r="J10" s="9"/>
      <c r="K10" s="9"/>
      <c r="L10" s="9"/>
      <c r="M10" s="4"/>
      <c r="N10" s="9"/>
    </row>
    <row r="11" spans="1:14" ht="14.25" customHeight="1" x14ac:dyDescent="0.3">
      <c r="A11" s="27" t="s">
        <v>19</v>
      </c>
      <c r="B11" s="28">
        <v>7</v>
      </c>
      <c r="C11" s="29">
        <f t="shared" si="0"/>
        <v>46242</v>
      </c>
      <c r="H11" s="8"/>
      <c r="I11" s="9"/>
      <c r="J11" s="9"/>
      <c r="K11" s="9"/>
      <c r="L11" s="9"/>
      <c r="M11" s="4"/>
      <c r="N11" s="9"/>
    </row>
    <row r="12" spans="1:14" ht="14.25" customHeight="1" x14ac:dyDescent="0.3">
      <c r="A12" s="30" t="s">
        <v>20</v>
      </c>
      <c r="B12" s="31">
        <v>3</v>
      </c>
      <c r="C12" s="32">
        <f t="shared" si="0"/>
        <v>46249</v>
      </c>
      <c r="H12" s="8"/>
      <c r="I12" s="9"/>
      <c r="J12" s="9"/>
      <c r="K12" s="9"/>
      <c r="L12" s="9"/>
      <c r="M12" s="4"/>
      <c r="N12" s="9"/>
    </row>
    <row r="13" spans="1:14" ht="14.25" customHeight="1" x14ac:dyDescent="0.3">
      <c r="A13" s="27" t="s">
        <v>21</v>
      </c>
      <c r="B13" s="28"/>
      <c r="C13" s="29">
        <f t="shared" si="0"/>
        <v>46252</v>
      </c>
      <c r="H13" s="8"/>
      <c r="I13" s="9"/>
      <c r="J13" s="9"/>
      <c r="K13" s="9"/>
      <c r="L13" s="9"/>
      <c r="M13" s="4"/>
      <c r="N13" s="9"/>
    </row>
    <row r="14" spans="1:14" ht="14.25" customHeight="1" x14ac:dyDescent="0.3">
      <c r="A14" s="34"/>
      <c r="B14" s="34"/>
      <c r="C14" s="34"/>
      <c r="H14" s="8"/>
      <c r="I14" s="9"/>
      <c r="J14" s="9"/>
      <c r="K14" s="9"/>
      <c r="L14" s="9"/>
      <c r="M14" s="4"/>
      <c r="N14" s="9"/>
    </row>
    <row r="15" spans="1:14" ht="14.25" customHeight="1" x14ac:dyDescent="0.3">
      <c r="A15" s="35" t="s">
        <v>22</v>
      </c>
      <c r="B15" s="36" t="s">
        <v>23</v>
      </c>
      <c r="C15" s="34"/>
      <c r="H15" s="8"/>
      <c r="I15" s="9"/>
      <c r="J15" s="9"/>
      <c r="K15" s="9"/>
      <c r="L15" s="9"/>
      <c r="M15" s="4"/>
      <c r="N15" s="9"/>
    </row>
    <row r="16" spans="1:14" ht="14.25" customHeight="1" x14ac:dyDescent="0.3">
      <c r="A16" s="17" t="s">
        <v>24</v>
      </c>
      <c r="B16" s="4">
        <v>33</v>
      </c>
      <c r="C16" s="34"/>
      <c r="H16" s="8"/>
      <c r="I16" s="9"/>
      <c r="J16" s="9"/>
      <c r="K16" s="9"/>
      <c r="L16" s="9"/>
      <c r="M16" s="4"/>
      <c r="N16" s="9"/>
    </row>
    <row r="17" spans="1:14" ht="14.25" customHeight="1" x14ac:dyDescent="0.3">
      <c r="A17" s="37" t="s">
        <v>29</v>
      </c>
      <c r="B17" s="10">
        <f>SUM(B16:B16)</f>
        <v>33</v>
      </c>
      <c r="C17" s="34"/>
      <c r="H17" s="8"/>
      <c r="I17" s="9"/>
      <c r="J17" s="9"/>
      <c r="K17" s="9"/>
      <c r="L17" s="9"/>
      <c r="M17" s="4"/>
      <c r="N17" s="9"/>
    </row>
    <row r="18" spans="1:14" ht="14.25" customHeight="1" x14ac:dyDescent="0.3">
      <c r="A18" s="34"/>
      <c r="B18" s="34"/>
      <c r="C18" s="34"/>
      <c r="H18" s="8"/>
      <c r="I18" s="9"/>
      <c r="J18" s="9"/>
      <c r="K18" s="9"/>
      <c r="L18" s="9"/>
      <c r="M18" s="4"/>
      <c r="N18" s="9"/>
    </row>
    <row r="19" spans="1:14" ht="14.25" customHeight="1" x14ac:dyDescent="0.3">
      <c r="A19" s="61" t="s">
        <v>30</v>
      </c>
      <c r="B19" s="62"/>
      <c r="C19" s="62"/>
      <c r="D19" s="62"/>
      <c r="E19" s="62"/>
      <c r="F19" s="62"/>
      <c r="H19" s="8"/>
      <c r="I19" s="9"/>
      <c r="J19" s="9"/>
      <c r="K19" s="9"/>
      <c r="L19" s="9"/>
      <c r="M19" s="4"/>
      <c r="N19" s="9"/>
    </row>
    <row r="20" spans="1:14" ht="39.75" customHeight="1" x14ac:dyDescent="0.3">
      <c r="A20" s="57"/>
      <c r="B20" s="58"/>
      <c r="C20" s="58"/>
      <c r="D20" s="58"/>
      <c r="E20" s="58"/>
      <c r="F20" s="58"/>
      <c r="H20" s="8"/>
      <c r="I20" s="9"/>
      <c r="J20" s="9"/>
      <c r="K20" s="9"/>
      <c r="L20" s="9"/>
      <c r="M20" s="4"/>
      <c r="N20" s="9"/>
    </row>
    <row r="21" spans="1:14" ht="14.25" customHeight="1" x14ac:dyDescent="0.3">
      <c r="A21" s="59"/>
      <c r="B21" s="60"/>
      <c r="C21" s="60"/>
      <c r="D21" s="60"/>
      <c r="E21" s="60"/>
      <c r="F21" s="60"/>
      <c r="H21" s="8"/>
      <c r="I21" s="9"/>
      <c r="J21" s="9"/>
      <c r="K21" s="9"/>
      <c r="L21" s="9"/>
      <c r="M21" s="4"/>
      <c r="N21" s="9"/>
    </row>
    <row r="22" spans="1:14" ht="14.25" customHeight="1" x14ac:dyDescent="0.3">
      <c r="A22" s="34"/>
      <c r="B22" s="34"/>
      <c r="C22" s="34"/>
      <c r="H22" s="8"/>
      <c r="I22" s="9"/>
      <c r="J22" s="9"/>
      <c r="K22" s="9"/>
      <c r="L22" s="9"/>
      <c r="M22" s="4"/>
      <c r="N22" s="9"/>
    </row>
    <row r="23" spans="1:14" ht="19.5" customHeight="1" x14ac:dyDescent="0.3">
      <c r="A23" s="65" t="s">
        <v>31</v>
      </c>
      <c r="B23" s="62"/>
      <c r="C23" s="62"/>
      <c r="D23" s="62"/>
      <c r="E23" s="62"/>
      <c r="F23" s="62"/>
      <c r="H23" s="8"/>
      <c r="I23" s="9"/>
      <c r="J23" s="9"/>
      <c r="K23" s="9"/>
      <c r="L23" s="9"/>
      <c r="M23" s="4"/>
      <c r="N23" s="9"/>
    </row>
    <row r="24" spans="1:14" ht="14.25" customHeight="1" x14ac:dyDescent="0.3">
      <c r="A24" s="10" t="s">
        <v>10</v>
      </c>
      <c r="B24" s="10" t="s">
        <v>11</v>
      </c>
      <c r="C24" s="10" t="s">
        <v>12</v>
      </c>
      <c r="H24" s="8"/>
      <c r="I24" s="9"/>
      <c r="J24" s="9"/>
      <c r="K24" s="9"/>
      <c r="L24" s="9"/>
      <c r="M24" s="4"/>
      <c r="N24" s="9"/>
    </row>
    <row r="25" spans="1:14" ht="14.25" customHeight="1" x14ac:dyDescent="0.3">
      <c r="A25" s="27" t="s">
        <v>13</v>
      </c>
      <c r="B25" s="28">
        <v>21</v>
      </c>
      <c r="C25" s="18"/>
      <c r="H25" s="8"/>
      <c r="I25" s="9"/>
      <c r="J25" s="9"/>
      <c r="K25" s="9"/>
      <c r="L25" s="9"/>
      <c r="M25" s="4"/>
      <c r="N25" s="9"/>
    </row>
    <row r="26" spans="1:14" ht="14.25" customHeight="1" x14ac:dyDescent="0.3">
      <c r="A26" s="30" t="s">
        <v>14</v>
      </c>
      <c r="B26" s="31">
        <v>14</v>
      </c>
      <c r="C26" s="39"/>
      <c r="H26" s="8"/>
      <c r="I26" s="9"/>
      <c r="J26" s="9"/>
      <c r="K26" s="9"/>
      <c r="L26" s="9"/>
      <c r="M26" s="4"/>
      <c r="N26" s="9"/>
    </row>
    <row r="27" spans="1:14" ht="14.25" customHeight="1" x14ac:dyDescent="0.3">
      <c r="A27" s="27" t="s">
        <v>15</v>
      </c>
      <c r="B27" s="28">
        <v>14</v>
      </c>
      <c r="C27" s="38"/>
      <c r="H27" s="8"/>
      <c r="I27" s="9"/>
      <c r="J27" s="9"/>
      <c r="K27" s="9"/>
      <c r="L27" s="9"/>
      <c r="M27" s="4"/>
      <c r="N27" s="9"/>
    </row>
    <row r="28" spans="1:14" ht="14.25" customHeight="1" x14ac:dyDescent="0.3">
      <c r="A28" s="30" t="s">
        <v>16</v>
      </c>
      <c r="B28" s="31">
        <v>16</v>
      </c>
      <c r="C28" s="39">
        <f>C12+1</f>
        <v>46250</v>
      </c>
    </row>
    <row r="29" spans="1:14" ht="14.25" customHeight="1" x14ac:dyDescent="0.3">
      <c r="A29" s="27" t="s">
        <v>17</v>
      </c>
      <c r="B29" s="28">
        <v>63</v>
      </c>
      <c r="C29" s="38">
        <f>IF(C28="","",C28+B28)</f>
        <v>46266</v>
      </c>
    </row>
    <row r="30" spans="1:14" ht="14.25" customHeight="1" x14ac:dyDescent="0.3">
      <c r="A30" s="30" t="s">
        <v>18</v>
      </c>
      <c r="B30" s="31">
        <v>1</v>
      </c>
      <c r="C30" s="39">
        <f>IF(C29="","",C29+B29)</f>
        <v>46329</v>
      </c>
    </row>
    <row r="31" spans="1:14" ht="14.25" customHeight="1" x14ac:dyDescent="0.3">
      <c r="A31" s="27" t="s">
        <v>19</v>
      </c>
      <c r="B31" s="28">
        <v>7</v>
      </c>
      <c r="C31" s="38">
        <f>IF(C30="","",C30+B30)</f>
        <v>46330</v>
      </c>
    </row>
    <row r="32" spans="1:14" ht="14.25" customHeight="1" x14ac:dyDescent="0.3">
      <c r="A32" s="30" t="s">
        <v>20</v>
      </c>
      <c r="B32" s="31">
        <v>3</v>
      </c>
      <c r="C32" s="39">
        <f>IF(C31="","",C31+B31)</f>
        <v>46337</v>
      </c>
    </row>
    <row r="33" spans="1:6" ht="14.25" customHeight="1" x14ac:dyDescent="0.3">
      <c r="A33" s="27" t="s">
        <v>21</v>
      </c>
      <c r="B33" s="28"/>
      <c r="C33" s="38">
        <f>IF(C32="","",C32+B32)</f>
        <v>46340</v>
      </c>
    </row>
    <row r="34" spans="1:6" ht="14.25" customHeight="1" x14ac:dyDescent="0.3">
      <c r="A34" s="34"/>
      <c r="B34" s="34"/>
      <c r="C34" s="34"/>
    </row>
    <row r="35" spans="1:6" ht="14.25" customHeight="1" x14ac:dyDescent="0.3">
      <c r="A35" s="35" t="s">
        <v>22</v>
      </c>
      <c r="B35" s="36" t="s">
        <v>23</v>
      </c>
      <c r="C35" s="34"/>
    </row>
    <row r="36" spans="1:6" ht="14.25" customHeight="1" x14ac:dyDescent="0.3">
      <c r="A36" s="17"/>
      <c r="B36" s="4"/>
      <c r="C36" s="34"/>
    </row>
    <row r="37" spans="1:6" ht="14.25" customHeight="1" x14ac:dyDescent="0.3">
      <c r="A37" s="37" t="s">
        <v>29</v>
      </c>
      <c r="B37" s="10">
        <f>SUM(B36:B36)</f>
        <v>0</v>
      </c>
      <c r="C37" s="34"/>
    </row>
    <row r="38" spans="1:6" ht="14.25" customHeight="1" x14ac:dyDescent="0.3">
      <c r="A38" s="34"/>
      <c r="B38" s="34"/>
      <c r="C38" s="34"/>
    </row>
    <row r="39" spans="1:6" ht="14.25" customHeight="1" x14ac:dyDescent="0.3">
      <c r="A39" s="61" t="s">
        <v>30</v>
      </c>
      <c r="B39" s="62"/>
      <c r="C39" s="62"/>
      <c r="D39" s="62"/>
      <c r="E39" s="62"/>
      <c r="F39" s="62"/>
    </row>
    <row r="40" spans="1:6" ht="39.75" customHeight="1" x14ac:dyDescent="0.3">
      <c r="A40" s="57"/>
      <c r="B40" s="58"/>
      <c r="C40" s="58"/>
      <c r="D40" s="58"/>
      <c r="E40" s="58"/>
      <c r="F40" s="58"/>
    </row>
    <row r="41" spans="1:6" ht="14.25" customHeight="1" x14ac:dyDescent="0.3">
      <c r="A41" s="59"/>
      <c r="B41" s="60"/>
      <c r="C41" s="60"/>
      <c r="D41" s="60"/>
      <c r="E41" s="60"/>
      <c r="F41" s="60"/>
    </row>
    <row r="42" spans="1:6" ht="14.25" customHeight="1" x14ac:dyDescent="0.3">
      <c r="A42" s="34"/>
      <c r="B42" s="34"/>
      <c r="C42" s="34"/>
    </row>
    <row r="43" spans="1:6" ht="19.5" customHeight="1" x14ac:dyDescent="0.3">
      <c r="A43" s="65" t="s">
        <v>32</v>
      </c>
      <c r="B43" s="62"/>
      <c r="C43" s="62"/>
      <c r="D43" s="62"/>
      <c r="E43" s="62"/>
      <c r="F43" s="62"/>
    </row>
    <row r="44" spans="1:6" ht="14.25" customHeight="1" x14ac:dyDescent="0.3">
      <c r="A44" s="10" t="s">
        <v>10</v>
      </c>
      <c r="B44" s="10" t="s">
        <v>11</v>
      </c>
      <c r="C44" s="10" t="s">
        <v>12</v>
      </c>
    </row>
    <row r="45" spans="1:6" ht="14.25" customHeight="1" x14ac:dyDescent="0.3">
      <c r="A45" s="27" t="s">
        <v>13</v>
      </c>
      <c r="B45" s="28">
        <v>21</v>
      </c>
      <c r="C45" s="18"/>
    </row>
    <row r="46" spans="1:6" ht="14.25" customHeight="1" x14ac:dyDescent="0.3">
      <c r="A46" s="30" t="s">
        <v>14</v>
      </c>
      <c r="B46" s="31">
        <v>14</v>
      </c>
      <c r="C46" s="32"/>
    </row>
    <row r="47" spans="1:6" ht="14.25" customHeight="1" x14ac:dyDescent="0.3">
      <c r="A47" s="27" t="s">
        <v>15</v>
      </c>
      <c r="B47" s="28">
        <v>14</v>
      </c>
      <c r="C47" s="29"/>
    </row>
    <row r="48" spans="1:6" ht="14.25" customHeight="1" x14ac:dyDescent="0.3">
      <c r="A48" s="30" t="s">
        <v>16</v>
      </c>
      <c r="B48" s="31">
        <v>16</v>
      </c>
      <c r="C48" s="39">
        <f>C32+1</f>
        <v>46338</v>
      </c>
    </row>
    <row r="49" spans="1:6" ht="14.25" customHeight="1" x14ac:dyDescent="0.3">
      <c r="A49" s="27" t="s">
        <v>17</v>
      </c>
      <c r="B49" s="28">
        <v>63</v>
      </c>
      <c r="C49" s="29">
        <f>IF(C48="","",C48+B48)</f>
        <v>46354</v>
      </c>
    </row>
    <row r="50" spans="1:6" ht="14.25" customHeight="1" x14ac:dyDescent="0.3">
      <c r="A50" s="30" t="s">
        <v>18</v>
      </c>
      <c r="B50" s="31">
        <v>1</v>
      </c>
      <c r="C50" s="32">
        <f>IF(C49="","",C49+B49)</f>
        <v>46417</v>
      </c>
    </row>
    <row r="51" spans="1:6" ht="14.25" customHeight="1" x14ac:dyDescent="0.3">
      <c r="A51" s="27" t="s">
        <v>19</v>
      </c>
      <c r="B51" s="28">
        <v>7</v>
      </c>
      <c r="C51" s="29">
        <f>IF(C50="","",C50+B50)</f>
        <v>46418</v>
      </c>
    </row>
    <row r="52" spans="1:6" ht="14.25" customHeight="1" x14ac:dyDescent="0.3">
      <c r="A52" s="30" t="s">
        <v>20</v>
      </c>
      <c r="B52" s="31">
        <v>3</v>
      </c>
      <c r="C52" s="32">
        <f>IF(C51="","",C51+B51)</f>
        <v>46425</v>
      </c>
    </row>
    <row r="53" spans="1:6" ht="14.25" customHeight="1" x14ac:dyDescent="0.3">
      <c r="A53" s="27" t="s">
        <v>21</v>
      </c>
      <c r="B53" s="28"/>
      <c r="C53" s="29">
        <f>IF(C52="","",C52+B52)</f>
        <v>46428</v>
      </c>
    </row>
    <row r="54" spans="1:6" ht="14.25" customHeight="1" x14ac:dyDescent="0.3">
      <c r="A54" s="34"/>
      <c r="B54" s="34"/>
      <c r="C54" s="34"/>
    </row>
    <row r="55" spans="1:6" ht="14.25" customHeight="1" x14ac:dyDescent="0.3">
      <c r="A55" s="35" t="s">
        <v>22</v>
      </c>
      <c r="B55" s="36" t="s">
        <v>23</v>
      </c>
      <c r="C55" s="34"/>
    </row>
    <row r="56" spans="1:6" ht="14.25" customHeight="1" x14ac:dyDescent="0.3">
      <c r="A56" s="17"/>
      <c r="B56" s="4"/>
      <c r="C56" s="34"/>
    </row>
    <row r="57" spans="1:6" ht="14.25" customHeight="1" x14ac:dyDescent="0.3">
      <c r="A57" s="37" t="s">
        <v>29</v>
      </c>
      <c r="B57" s="10">
        <f>SUM(B56:B56)</f>
        <v>0</v>
      </c>
      <c r="C57" s="34"/>
    </row>
    <row r="58" spans="1:6" ht="14.25" customHeight="1" x14ac:dyDescent="0.3">
      <c r="A58" s="34"/>
      <c r="B58" s="34"/>
      <c r="C58" s="34"/>
    </row>
    <row r="59" spans="1:6" ht="14.25" customHeight="1" x14ac:dyDescent="0.3">
      <c r="A59" s="61" t="s">
        <v>30</v>
      </c>
      <c r="B59" s="62"/>
      <c r="C59" s="62"/>
      <c r="D59" s="62"/>
      <c r="E59" s="62"/>
      <c r="F59" s="62"/>
    </row>
    <row r="60" spans="1:6" ht="39.75" customHeight="1" x14ac:dyDescent="0.3">
      <c r="A60" s="57"/>
      <c r="B60" s="58"/>
      <c r="C60" s="58"/>
      <c r="D60" s="58"/>
      <c r="E60" s="58"/>
      <c r="F60" s="58"/>
    </row>
    <row r="61" spans="1:6" ht="14.25" customHeight="1" x14ac:dyDescent="0.3">
      <c r="A61" s="59"/>
      <c r="B61" s="60"/>
      <c r="C61" s="60"/>
      <c r="D61" s="60"/>
      <c r="E61" s="60"/>
      <c r="F61" s="60"/>
    </row>
    <row r="62" spans="1:6" ht="14.25" customHeight="1" x14ac:dyDescent="0.3">
      <c r="A62" s="34"/>
      <c r="B62" s="34"/>
      <c r="C62" s="34"/>
    </row>
    <row r="63" spans="1:6" ht="19.5" customHeight="1" x14ac:dyDescent="0.3">
      <c r="A63" s="65" t="s">
        <v>33</v>
      </c>
      <c r="B63" s="62"/>
      <c r="C63" s="62"/>
      <c r="D63" s="62"/>
      <c r="E63" s="62"/>
      <c r="F63" s="62"/>
    </row>
    <row r="64" spans="1:6" ht="14.25" customHeight="1" x14ac:dyDescent="0.3">
      <c r="A64" s="10" t="s">
        <v>10</v>
      </c>
      <c r="B64" s="10" t="s">
        <v>11</v>
      </c>
      <c r="C64" s="10" t="s">
        <v>12</v>
      </c>
    </row>
    <row r="65" spans="1:6" ht="14.25" customHeight="1" x14ac:dyDescent="0.3">
      <c r="A65" s="27" t="s">
        <v>13</v>
      </c>
      <c r="B65" s="28">
        <v>21</v>
      </c>
      <c r="C65" s="18"/>
    </row>
    <row r="66" spans="1:6" ht="14.25" customHeight="1" x14ac:dyDescent="0.3">
      <c r="A66" s="30" t="s">
        <v>14</v>
      </c>
      <c r="B66" s="31">
        <v>14</v>
      </c>
      <c r="C66" s="39"/>
    </row>
    <row r="67" spans="1:6" ht="14.25" customHeight="1" x14ac:dyDescent="0.3">
      <c r="A67" s="27" t="s">
        <v>15</v>
      </c>
      <c r="B67" s="28">
        <v>14</v>
      </c>
      <c r="C67" s="38"/>
    </row>
    <row r="68" spans="1:6" ht="14.25" customHeight="1" x14ac:dyDescent="0.3">
      <c r="A68" s="30" t="s">
        <v>16</v>
      </c>
      <c r="B68" s="31">
        <v>16</v>
      </c>
      <c r="C68" s="39">
        <f>C52+1</f>
        <v>46426</v>
      </c>
    </row>
    <row r="69" spans="1:6" ht="14.25" customHeight="1" x14ac:dyDescent="0.3">
      <c r="A69" s="27" t="s">
        <v>17</v>
      </c>
      <c r="B69" s="28">
        <v>63</v>
      </c>
      <c r="C69" s="38">
        <f>IF(C68="","",C68+B68)</f>
        <v>46442</v>
      </c>
    </row>
    <row r="70" spans="1:6" ht="14.25" customHeight="1" x14ac:dyDescent="0.3">
      <c r="A70" s="30" t="s">
        <v>18</v>
      </c>
      <c r="B70" s="31">
        <v>1</v>
      </c>
      <c r="C70" s="39">
        <f>IF(C69="","",C69+B69)</f>
        <v>46505</v>
      </c>
    </row>
    <row r="71" spans="1:6" ht="14.25" customHeight="1" x14ac:dyDescent="0.3">
      <c r="A71" s="27" t="s">
        <v>19</v>
      </c>
      <c r="B71" s="28">
        <v>7</v>
      </c>
      <c r="C71" s="38">
        <f>IF(C70="","",C70+B70)</f>
        <v>46506</v>
      </c>
    </row>
    <row r="72" spans="1:6" ht="14.25" customHeight="1" x14ac:dyDescent="0.3">
      <c r="A72" s="30" t="s">
        <v>20</v>
      </c>
      <c r="B72" s="31">
        <v>3</v>
      </c>
      <c r="C72" s="39">
        <f>IF(C71="","",C71+B71)</f>
        <v>46513</v>
      </c>
    </row>
    <row r="73" spans="1:6" ht="14.25" customHeight="1" x14ac:dyDescent="0.3">
      <c r="A73" s="27" t="s">
        <v>21</v>
      </c>
      <c r="B73" s="28"/>
      <c r="C73" s="38">
        <f>IF(C72="","",C72+B72)</f>
        <v>46516</v>
      </c>
    </row>
    <row r="74" spans="1:6" ht="14.25" customHeight="1" x14ac:dyDescent="0.3">
      <c r="A74" s="34"/>
      <c r="B74" s="34"/>
      <c r="C74" s="34"/>
    </row>
    <row r="75" spans="1:6" ht="14.25" customHeight="1" x14ac:dyDescent="0.3">
      <c r="A75" s="35" t="s">
        <v>22</v>
      </c>
      <c r="B75" s="36" t="s">
        <v>23</v>
      </c>
      <c r="C75" s="34"/>
    </row>
    <row r="76" spans="1:6" ht="14.25" customHeight="1" x14ac:dyDescent="0.3">
      <c r="A76" s="17"/>
      <c r="B76" s="4"/>
      <c r="C76" s="34"/>
    </row>
    <row r="77" spans="1:6" ht="14.25" customHeight="1" x14ac:dyDescent="0.3">
      <c r="A77" s="37" t="s">
        <v>29</v>
      </c>
      <c r="B77" s="10">
        <f>SUM(B76:B76)</f>
        <v>0</v>
      </c>
      <c r="C77" s="34"/>
    </row>
    <row r="78" spans="1:6" ht="14.25" customHeight="1" x14ac:dyDescent="0.3">
      <c r="A78" s="34"/>
      <c r="B78" s="34"/>
      <c r="C78" s="34"/>
    </row>
    <row r="79" spans="1:6" ht="14.25" customHeight="1" x14ac:dyDescent="0.3">
      <c r="A79" s="61" t="s">
        <v>30</v>
      </c>
      <c r="B79" s="62"/>
      <c r="C79" s="62"/>
      <c r="D79" s="62"/>
      <c r="E79" s="62"/>
      <c r="F79" s="62"/>
    </row>
    <row r="80" spans="1:6" ht="39.75" customHeight="1" x14ac:dyDescent="0.3">
      <c r="A80" s="57"/>
      <c r="B80" s="58"/>
      <c r="C80" s="58"/>
      <c r="D80" s="58"/>
      <c r="E80" s="58"/>
      <c r="F80" s="58"/>
    </row>
    <row r="81" spans="1:6" ht="14.25" customHeight="1" x14ac:dyDescent="0.3">
      <c r="A81" s="59"/>
      <c r="B81" s="60"/>
      <c r="C81" s="60"/>
      <c r="D81" s="60"/>
      <c r="E81" s="60"/>
      <c r="F81" s="60"/>
    </row>
    <row r="82" spans="1:6" ht="14.25" customHeight="1" x14ac:dyDescent="0.3">
      <c r="A82" s="34"/>
      <c r="B82" s="34"/>
      <c r="C82" s="34"/>
    </row>
    <row r="83" spans="1:6" ht="19.5" customHeight="1" x14ac:dyDescent="0.3">
      <c r="A83" s="65" t="s">
        <v>34</v>
      </c>
      <c r="B83" s="62"/>
      <c r="C83" s="62"/>
      <c r="D83" s="62"/>
      <c r="E83" s="62"/>
      <c r="F83" s="62"/>
    </row>
    <row r="84" spans="1:6" ht="14.25" customHeight="1" x14ac:dyDescent="0.3">
      <c r="A84" s="10" t="s">
        <v>10</v>
      </c>
      <c r="B84" s="10" t="s">
        <v>11</v>
      </c>
      <c r="C84" s="10" t="s">
        <v>12</v>
      </c>
    </row>
    <row r="85" spans="1:6" ht="14.25" customHeight="1" x14ac:dyDescent="0.3">
      <c r="A85" s="27" t="s">
        <v>13</v>
      </c>
      <c r="B85" s="28">
        <v>21</v>
      </c>
      <c r="C85" s="18"/>
    </row>
    <row r="86" spans="1:6" ht="14.25" customHeight="1" x14ac:dyDescent="0.3">
      <c r="A86" s="30" t="s">
        <v>14</v>
      </c>
      <c r="B86" s="31">
        <v>14</v>
      </c>
      <c r="C86" s="39"/>
    </row>
    <row r="87" spans="1:6" ht="14.25" customHeight="1" x14ac:dyDescent="0.3">
      <c r="A87" s="27" t="s">
        <v>15</v>
      </c>
      <c r="B87" s="28">
        <v>14</v>
      </c>
      <c r="C87" s="38"/>
    </row>
    <row r="88" spans="1:6" ht="14.25" customHeight="1" x14ac:dyDescent="0.3">
      <c r="A88" s="30" t="s">
        <v>16</v>
      </c>
      <c r="B88" s="31">
        <v>16</v>
      </c>
      <c r="C88" s="39">
        <f>C72+1</f>
        <v>46514</v>
      </c>
    </row>
    <row r="89" spans="1:6" ht="14.25" customHeight="1" x14ac:dyDescent="0.3">
      <c r="A89" s="27" t="s">
        <v>17</v>
      </c>
      <c r="B89" s="28">
        <v>63</v>
      </c>
      <c r="C89" s="38">
        <f>IF(C88="","",C88+B88)</f>
        <v>46530</v>
      </c>
    </row>
    <row r="90" spans="1:6" ht="14.25" customHeight="1" x14ac:dyDescent="0.3">
      <c r="A90" s="30" t="s">
        <v>18</v>
      </c>
      <c r="B90" s="31">
        <v>1</v>
      </c>
      <c r="C90" s="39">
        <f>IF(C89="","",C89+B89)</f>
        <v>46593</v>
      </c>
    </row>
    <row r="91" spans="1:6" ht="14.25" customHeight="1" x14ac:dyDescent="0.3">
      <c r="A91" s="27" t="s">
        <v>19</v>
      </c>
      <c r="B91" s="28">
        <v>7</v>
      </c>
      <c r="C91" s="38">
        <f>IF(C90="","",C90+B90)</f>
        <v>46594</v>
      </c>
    </row>
    <row r="92" spans="1:6" ht="14.25" customHeight="1" x14ac:dyDescent="0.3">
      <c r="A92" s="30" t="s">
        <v>20</v>
      </c>
      <c r="B92" s="31">
        <v>3</v>
      </c>
      <c r="C92" s="39">
        <f>IF(C91="","",C91+B91)</f>
        <v>46601</v>
      </c>
    </row>
    <row r="93" spans="1:6" ht="14.25" customHeight="1" x14ac:dyDescent="0.3">
      <c r="A93" s="27" t="s">
        <v>21</v>
      </c>
      <c r="B93" s="28"/>
      <c r="C93" s="38">
        <f>IF(C92="","",C92+B92)</f>
        <v>46604</v>
      </c>
    </row>
    <row r="94" spans="1:6" ht="14.25" customHeight="1" x14ac:dyDescent="0.3">
      <c r="A94" s="34"/>
      <c r="B94" s="34"/>
      <c r="C94" s="34"/>
    </row>
    <row r="95" spans="1:6" ht="14.25" customHeight="1" x14ac:dyDescent="0.3">
      <c r="A95" s="35" t="s">
        <v>22</v>
      </c>
      <c r="B95" s="36" t="s">
        <v>23</v>
      </c>
      <c r="C95" s="34"/>
    </row>
    <row r="96" spans="1:6" ht="14.25" customHeight="1" x14ac:dyDescent="0.3">
      <c r="A96" s="17"/>
      <c r="B96" s="4"/>
      <c r="C96" s="34"/>
    </row>
    <row r="97" spans="1:6" ht="14.25" customHeight="1" x14ac:dyDescent="0.3">
      <c r="A97" s="37" t="s">
        <v>29</v>
      </c>
      <c r="B97" s="10">
        <f>SUM(B96:B96)</f>
        <v>0</v>
      </c>
      <c r="C97" s="34"/>
    </row>
    <row r="98" spans="1:6" ht="14.25" customHeight="1" x14ac:dyDescent="0.3">
      <c r="A98" s="34"/>
      <c r="B98" s="34"/>
      <c r="C98" s="34"/>
    </row>
    <row r="99" spans="1:6" ht="14.25" customHeight="1" x14ac:dyDescent="0.3">
      <c r="A99" s="61" t="s">
        <v>30</v>
      </c>
      <c r="B99" s="62"/>
      <c r="C99" s="62"/>
      <c r="D99" s="62"/>
      <c r="E99" s="62"/>
      <c r="F99" s="62"/>
    </row>
    <row r="100" spans="1:6" ht="39.75" customHeight="1" x14ac:dyDescent="0.3">
      <c r="A100" s="57"/>
      <c r="B100" s="58"/>
      <c r="C100" s="58"/>
      <c r="D100" s="58"/>
      <c r="E100" s="58"/>
      <c r="F100" s="58"/>
    </row>
    <row r="101" spans="1:6" ht="14.25" customHeight="1" x14ac:dyDescent="0.3">
      <c r="A101" s="59"/>
      <c r="B101" s="60"/>
      <c r="C101" s="60"/>
      <c r="D101" s="60"/>
      <c r="E101" s="60"/>
      <c r="F101" s="60"/>
    </row>
    <row r="102" spans="1:6" ht="14.25" customHeight="1" x14ac:dyDescent="0.3">
      <c r="A102" s="34"/>
      <c r="B102" s="34"/>
      <c r="C102" s="34"/>
    </row>
  </sheetData>
  <mergeCells count="17">
    <mergeCell ref="A100:F101"/>
    <mergeCell ref="A39:F39"/>
    <mergeCell ref="A20:F21"/>
    <mergeCell ref="A60:F61"/>
    <mergeCell ref="A59:F59"/>
    <mergeCell ref="A43:F43"/>
    <mergeCell ref="A63:F63"/>
    <mergeCell ref="H1:M1"/>
    <mergeCell ref="A99:F99"/>
    <mergeCell ref="A19:F19"/>
    <mergeCell ref="A40:F41"/>
    <mergeCell ref="A1:F1"/>
    <mergeCell ref="A23:F23"/>
    <mergeCell ref="A80:F81"/>
    <mergeCell ref="A79:F79"/>
    <mergeCell ref="A83:F83"/>
    <mergeCell ref="A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B4332"/>
  </sheetPr>
  <dimension ref="A1:N110"/>
  <sheetViews>
    <sheetView showGridLines="0" zoomScaleNormal="100" workbookViewId="0">
      <selection activeCell="Q3" sqref="Q3"/>
    </sheetView>
  </sheetViews>
  <sheetFormatPr baseColWidth="10" defaultColWidth="8.6640625" defaultRowHeight="14.4" x14ac:dyDescent="0.3"/>
  <cols>
    <col min="1" max="1" width="22" customWidth="1"/>
    <col min="2" max="2" width="8" customWidth="1"/>
    <col min="3" max="3" width="16" customWidth="1"/>
    <col min="4" max="4" width="2" customWidth="1"/>
    <col min="5" max="5" width="14" customWidth="1"/>
    <col min="6" max="6" width="16" customWidth="1"/>
    <col min="8" max="8" width="14" customWidth="1"/>
    <col min="9" max="9" width="8" customWidth="1"/>
    <col min="10" max="12" width="10" customWidth="1"/>
    <col min="13" max="13" width="13" customWidth="1"/>
    <col min="14" max="14" width="20" customWidth="1"/>
  </cols>
  <sheetData>
    <row r="1" spans="1:14" ht="30" customHeight="1" x14ac:dyDescent="0.3">
      <c r="A1" s="66" t="s">
        <v>0</v>
      </c>
      <c r="B1" s="64"/>
      <c r="C1" s="64"/>
      <c r="D1" s="64"/>
      <c r="E1" s="64"/>
      <c r="F1" s="64"/>
      <c r="H1" s="63" t="s">
        <v>1</v>
      </c>
      <c r="I1" s="64"/>
      <c r="J1" s="64"/>
      <c r="K1" s="64"/>
      <c r="L1" s="64"/>
      <c r="M1" s="64"/>
    </row>
    <row r="2" spans="1:14" ht="24" customHeight="1" x14ac:dyDescent="0.3">
      <c r="H2" s="7" t="s">
        <v>2</v>
      </c>
      <c r="I2" s="7" t="s">
        <v>3</v>
      </c>
      <c r="J2" s="7" t="s">
        <v>4</v>
      </c>
      <c r="K2" s="7" t="s">
        <v>5</v>
      </c>
      <c r="L2" s="7" t="s">
        <v>6</v>
      </c>
      <c r="M2" s="1" t="s">
        <v>7</v>
      </c>
      <c r="N2" s="7" t="s">
        <v>8</v>
      </c>
    </row>
    <row r="3" spans="1:14" ht="19.5" customHeight="1" x14ac:dyDescent="0.3">
      <c r="A3" s="65" t="s">
        <v>9</v>
      </c>
      <c r="B3" s="62"/>
      <c r="C3" s="62"/>
      <c r="D3" s="62"/>
      <c r="E3" s="62"/>
      <c r="F3" s="62"/>
      <c r="H3" s="8">
        <v>46184</v>
      </c>
      <c r="I3" s="9">
        <v>5.95</v>
      </c>
      <c r="J3" s="9">
        <v>900</v>
      </c>
      <c r="K3" s="9"/>
      <c r="L3" s="9"/>
      <c r="M3" s="4"/>
      <c r="N3" s="9"/>
    </row>
    <row r="4" spans="1:14" ht="14.25" customHeight="1" x14ac:dyDescent="0.3">
      <c r="A4" s="10" t="s">
        <v>10</v>
      </c>
      <c r="B4" s="10" t="s">
        <v>11</v>
      </c>
      <c r="C4" s="10" t="s">
        <v>12</v>
      </c>
      <c r="H4" s="8"/>
      <c r="I4" s="9"/>
      <c r="J4" s="9"/>
      <c r="K4" s="9"/>
      <c r="L4" s="9"/>
      <c r="M4" s="4"/>
      <c r="N4" s="9"/>
    </row>
    <row r="5" spans="1:14" ht="14.25" customHeight="1" x14ac:dyDescent="0.3">
      <c r="A5" s="24" t="s">
        <v>13</v>
      </c>
      <c r="B5" s="25">
        <v>21</v>
      </c>
      <c r="C5" s="26">
        <v>46058</v>
      </c>
      <c r="H5" s="8"/>
      <c r="I5" s="9"/>
      <c r="J5" s="9"/>
      <c r="K5" s="9"/>
      <c r="L5" s="9"/>
      <c r="M5" s="4"/>
      <c r="N5" s="9"/>
    </row>
    <row r="6" spans="1:14" ht="14.25" customHeight="1" x14ac:dyDescent="0.3">
      <c r="A6" s="24" t="s">
        <v>14</v>
      </c>
      <c r="B6" s="25">
        <v>14</v>
      </c>
      <c r="C6" s="26">
        <f t="shared" ref="C6:C13" si="0">IF(C5="","",C5+B5)</f>
        <v>46079</v>
      </c>
      <c r="H6" s="8"/>
      <c r="I6" s="9"/>
      <c r="J6" s="9"/>
      <c r="K6" s="9"/>
      <c r="L6" s="9"/>
      <c r="M6" s="4"/>
      <c r="N6" s="9"/>
    </row>
    <row r="7" spans="1:14" ht="14.25" customHeight="1" x14ac:dyDescent="0.3">
      <c r="A7" s="24" t="s">
        <v>15</v>
      </c>
      <c r="B7" s="25">
        <v>14</v>
      </c>
      <c r="C7" s="26">
        <f t="shared" si="0"/>
        <v>46093</v>
      </c>
      <c r="H7" s="8"/>
      <c r="I7" s="9"/>
      <c r="J7" s="9"/>
      <c r="K7" s="9"/>
      <c r="L7" s="9"/>
      <c r="M7" s="4"/>
      <c r="N7" s="9"/>
    </row>
    <row r="8" spans="1:14" ht="14.25" customHeight="1" x14ac:dyDescent="0.3">
      <c r="A8" s="24" t="s">
        <v>16</v>
      </c>
      <c r="B8" s="25">
        <v>16</v>
      </c>
      <c r="C8" s="26">
        <f t="shared" si="0"/>
        <v>46107</v>
      </c>
      <c r="H8" s="8"/>
      <c r="I8" s="9"/>
      <c r="J8" s="9"/>
      <c r="K8" s="9"/>
      <c r="L8" s="9"/>
      <c r="M8" s="4"/>
      <c r="N8" s="9"/>
    </row>
    <row r="9" spans="1:14" ht="14.25" customHeight="1" x14ac:dyDescent="0.3">
      <c r="A9" s="24" t="s">
        <v>17</v>
      </c>
      <c r="B9" s="25">
        <v>63</v>
      </c>
      <c r="C9" s="26">
        <f t="shared" si="0"/>
        <v>46123</v>
      </c>
      <c r="H9" s="8"/>
      <c r="I9" s="9"/>
      <c r="J9" s="9"/>
      <c r="K9" s="9"/>
      <c r="L9" s="9"/>
      <c r="M9" s="4"/>
      <c r="N9" s="9"/>
    </row>
    <row r="10" spans="1:14" ht="14.25" customHeight="1" x14ac:dyDescent="0.3">
      <c r="A10" s="30" t="s">
        <v>18</v>
      </c>
      <c r="B10" s="31">
        <v>1</v>
      </c>
      <c r="C10" s="32">
        <f t="shared" si="0"/>
        <v>46186</v>
      </c>
      <c r="H10" s="8"/>
      <c r="I10" s="9"/>
      <c r="J10" s="9"/>
      <c r="K10" s="9"/>
      <c r="L10" s="9"/>
      <c r="M10" s="4"/>
      <c r="N10" s="9"/>
    </row>
    <row r="11" spans="1:14" ht="14.25" customHeight="1" x14ac:dyDescent="0.3">
      <c r="A11" s="27" t="s">
        <v>19</v>
      </c>
      <c r="B11" s="28">
        <v>7</v>
      </c>
      <c r="C11" s="29">
        <f t="shared" si="0"/>
        <v>46187</v>
      </c>
      <c r="H11" s="8"/>
      <c r="I11" s="9"/>
      <c r="J11" s="9"/>
      <c r="K11" s="9"/>
      <c r="L11" s="9"/>
      <c r="M11" s="4"/>
      <c r="N11" s="9"/>
    </row>
    <row r="12" spans="1:14" ht="14.25" customHeight="1" x14ac:dyDescent="0.3">
      <c r="A12" s="30" t="s">
        <v>20</v>
      </c>
      <c r="B12" s="31">
        <v>3</v>
      </c>
      <c r="C12" s="32">
        <f t="shared" si="0"/>
        <v>46194</v>
      </c>
      <c r="H12" s="8"/>
      <c r="I12" s="9"/>
      <c r="J12" s="9"/>
      <c r="K12" s="9"/>
      <c r="L12" s="9"/>
      <c r="M12" s="4"/>
      <c r="N12" s="9"/>
    </row>
    <row r="13" spans="1:14" ht="14.25" customHeight="1" x14ac:dyDescent="0.3">
      <c r="A13" s="27" t="s">
        <v>21</v>
      </c>
      <c r="B13" s="28"/>
      <c r="C13" s="29">
        <f t="shared" si="0"/>
        <v>46197</v>
      </c>
      <c r="H13" s="8"/>
      <c r="I13" s="9"/>
      <c r="J13" s="9"/>
      <c r="K13" s="9"/>
      <c r="L13" s="9"/>
      <c r="M13" s="4"/>
      <c r="N13" s="9"/>
    </row>
    <row r="14" spans="1:14" ht="14.25" customHeight="1" x14ac:dyDescent="0.3">
      <c r="A14" s="34"/>
      <c r="B14" s="34"/>
      <c r="C14" s="34"/>
      <c r="H14" s="8"/>
      <c r="I14" s="9"/>
      <c r="J14" s="9"/>
      <c r="K14" s="9"/>
      <c r="L14" s="9"/>
      <c r="M14" s="4"/>
      <c r="N14" s="9"/>
    </row>
    <row r="15" spans="1:14" ht="14.25" customHeight="1" x14ac:dyDescent="0.3">
      <c r="A15" s="35" t="s">
        <v>22</v>
      </c>
      <c r="B15" s="36" t="s">
        <v>23</v>
      </c>
      <c r="C15" s="34"/>
      <c r="H15" s="8"/>
      <c r="I15" s="9"/>
      <c r="J15" s="9"/>
      <c r="K15" s="9"/>
      <c r="L15" s="9"/>
      <c r="M15" s="4"/>
      <c r="N15" s="9"/>
    </row>
    <row r="16" spans="1:14" ht="14.25" customHeight="1" x14ac:dyDescent="0.3">
      <c r="A16" s="17" t="s">
        <v>24</v>
      </c>
      <c r="B16" s="4">
        <v>22</v>
      </c>
      <c r="C16" s="34"/>
      <c r="H16" s="8"/>
      <c r="I16" s="9"/>
      <c r="J16" s="9"/>
      <c r="K16" s="9"/>
      <c r="L16" s="9"/>
      <c r="M16" s="4"/>
      <c r="N16" s="9"/>
    </row>
    <row r="17" spans="1:14" ht="14.25" customHeight="1" x14ac:dyDescent="0.3">
      <c r="A17" s="17" t="s">
        <v>25</v>
      </c>
      <c r="B17" s="4">
        <v>19</v>
      </c>
      <c r="C17" s="34"/>
      <c r="H17" s="8"/>
      <c r="I17" s="9"/>
      <c r="J17" s="9"/>
      <c r="K17" s="9"/>
      <c r="L17" s="9"/>
      <c r="M17" s="4"/>
      <c r="N17" s="9"/>
    </row>
    <row r="18" spans="1:14" ht="14.25" customHeight="1" x14ac:dyDescent="0.3">
      <c r="A18" s="17" t="s">
        <v>26</v>
      </c>
      <c r="B18" s="4">
        <v>3</v>
      </c>
      <c r="C18" s="34"/>
      <c r="H18" s="8"/>
      <c r="I18" s="9"/>
      <c r="J18" s="9"/>
      <c r="K18" s="9"/>
      <c r="L18" s="9"/>
      <c r="M18" s="4"/>
      <c r="N18" s="9"/>
    </row>
    <row r="19" spans="1:14" ht="14.25" customHeight="1" x14ac:dyDescent="0.3">
      <c r="A19" s="17" t="s">
        <v>27</v>
      </c>
      <c r="B19" s="4">
        <v>1</v>
      </c>
      <c r="C19" s="34"/>
      <c r="H19" s="8"/>
      <c r="I19" s="9"/>
      <c r="J19" s="9"/>
      <c r="K19" s="9"/>
      <c r="L19" s="9"/>
      <c r="M19" s="4"/>
      <c r="N19" s="9"/>
    </row>
    <row r="20" spans="1:14" ht="14.25" customHeight="1" x14ac:dyDescent="0.3">
      <c r="A20" s="17" t="s">
        <v>28</v>
      </c>
      <c r="B20" s="4">
        <v>3</v>
      </c>
      <c r="C20" s="34"/>
      <c r="H20" s="8"/>
      <c r="I20" s="9"/>
      <c r="J20" s="9"/>
      <c r="K20" s="9"/>
      <c r="L20" s="9"/>
      <c r="M20" s="4"/>
      <c r="N20" s="9"/>
    </row>
    <row r="21" spans="1:14" ht="14.25" customHeight="1" x14ac:dyDescent="0.3">
      <c r="A21" s="37" t="s">
        <v>29</v>
      </c>
      <c r="B21" s="10">
        <f>SUM(B16:B20)</f>
        <v>48</v>
      </c>
      <c r="C21" s="34"/>
      <c r="H21" s="8"/>
      <c r="I21" s="9"/>
      <c r="J21" s="9"/>
      <c r="K21" s="9"/>
      <c r="L21" s="9"/>
      <c r="M21" s="4"/>
      <c r="N21" s="9"/>
    </row>
    <row r="22" spans="1:14" ht="14.25" customHeight="1" x14ac:dyDescent="0.3">
      <c r="A22" s="34"/>
      <c r="B22" s="34"/>
      <c r="C22" s="34"/>
      <c r="H22" s="8"/>
      <c r="I22" s="9"/>
      <c r="J22" s="9"/>
      <c r="K22" s="9"/>
      <c r="L22" s="9"/>
      <c r="M22" s="4"/>
      <c r="N22" s="9"/>
    </row>
    <row r="23" spans="1:14" ht="14.25" customHeight="1" x14ac:dyDescent="0.3">
      <c r="A23" s="61" t="s">
        <v>30</v>
      </c>
      <c r="B23" s="62"/>
      <c r="C23" s="62"/>
      <c r="D23" s="62"/>
      <c r="E23" s="62"/>
      <c r="F23" s="62"/>
      <c r="H23" s="8"/>
      <c r="I23" s="9"/>
      <c r="J23" s="9"/>
      <c r="K23" s="9"/>
      <c r="L23" s="9"/>
      <c r="M23" s="4"/>
      <c r="N23" s="9"/>
    </row>
    <row r="24" spans="1:14" ht="39.75" customHeight="1" x14ac:dyDescent="0.3">
      <c r="A24" s="57"/>
      <c r="B24" s="58"/>
      <c r="C24" s="58"/>
      <c r="D24" s="58"/>
      <c r="E24" s="58"/>
      <c r="F24" s="58"/>
      <c r="H24" s="8"/>
      <c r="I24" s="9"/>
      <c r="J24" s="9"/>
      <c r="K24" s="9"/>
      <c r="L24" s="9"/>
      <c r="M24" s="4"/>
      <c r="N24" s="9"/>
    </row>
    <row r="25" spans="1:14" ht="14.25" customHeight="1" x14ac:dyDescent="0.3">
      <c r="A25" s="59"/>
      <c r="B25" s="60"/>
      <c r="C25" s="60"/>
      <c r="D25" s="60"/>
      <c r="E25" s="60"/>
      <c r="F25" s="60"/>
      <c r="H25" s="8"/>
      <c r="I25" s="9"/>
      <c r="J25" s="9"/>
      <c r="K25" s="9"/>
      <c r="L25" s="9"/>
      <c r="M25" s="4"/>
      <c r="N25" s="9"/>
    </row>
    <row r="26" spans="1:14" ht="14.25" customHeight="1" x14ac:dyDescent="0.3">
      <c r="A26" s="34"/>
      <c r="B26" s="34"/>
      <c r="C26" s="34"/>
      <c r="H26" s="8"/>
      <c r="I26" s="9"/>
      <c r="J26" s="9"/>
      <c r="K26" s="9"/>
      <c r="L26" s="9"/>
      <c r="M26" s="4"/>
      <c r="N26" s="9"/>
    </row>
    <row r="27" spans="1:14" ht="19.5" customHeight="1" x14ac:dyDescent="0.3">
      <c r="A27" s="65" t="s">
        <v>31</v>
      </c>
      <c r="B27" s="62"/>
      <c r="C27" s="62"/>
      <c r="D27" s="62"/>
      <c r="E27" s="62"/>
      <c r="F27" s="62"/>
      <c r="H27" s="8"/>
      <c r="I27" s="9"/>
      <c r="J27" s="9"/>
      <c r="K27" s="9"/>
      <c r="L27" s="9"/>
      <c r="M27" s="4"/>
      <c r="N27" s="9"/>
    </row>
    <row r="28" spans="1:14" ht="14.25" customHeight="1" x14ac:dyDescent="0.3">
      <c r="A28" s="10" t="s">
        <v>10</v>
      </c>
      <c r="B28" s="10" t="s">
        <v>11</v>
      </c>
      <c r="C28" s="10" t="s">
        <v>12</v>
      </c>
      <c r="H28" s="8"/>
      <c r="I28" s="9"/>
      <c r="J28" s="9"/>
      <c r="K28" s="9"/>
      <c r="L28" s="9"/>
      <c r="N28" s="9"/>
    </row>
    <row r="29" spans="1:14" ht="14.25" customHeight="1" x14ac:dyDescent="0.3">
      <c r="A29" s="27" t="s">
        <v>13</v>
      </c>
      <c r="B29" s="28">
        <v>21</v>
      </c>
      <c r="C29" s="18"/>
      <c r="H29" s="8"/>
      <c r="I29" s="9"/>
      <c r="J29" s="9"/>
      <c r="K29" s="9"/>
      <c r="L29" s="9"/>
      <c r="N29" s="9"/>
    </row>
    <row r="30" spans="1:14" ht="14.25" customHeight="1" x14ac:dyDescent="0.3">
      <c r="A30" s="30" t="s">
        <v>14</v>
      </c>
      <c r="B30" s="31">
        <v>14</v>
      </c>
      <c r="C30" s="39"/>
      <c r="H30" s="8"/>
      <c r="I30" s="9"/>
      <c r="J30" s="9"/>
      <c r="K30" s="9"/>
      <c r="L30" s="9"/>
      <c r="N30" s="9"/>
    </row>
    <row r="31" spans="1:14" ht="14.25" customHeight="1" x14ac:dyDescent="0.3">
      <c r="A31" s="27" t="s">
        <v>15</v>
      </c>
      <c r="B31" s="28">
        <v>14</v>
      </c>
      <c r="C31" s="38"/>
    </row>
    <row r="32" spans="1:14" ht="14.25" customHeight="1" x14ac:dyDescent="0.3">
      <c r="A32" s="30" t="s">
        <v>16</v>
      </c>
      <c r="B32" s="31">
        <v>16</v>
      </c>
      <c r="C32" s="39">
        <f>C12+1</f>
        <v>46195</v>
      </c>
    </row>
    <row r="33" spans="1:6" ht="14.25" customHeight="1" x14ac:dyDescent="0.3">
      <c r="A33" s="27" t="s">
        <v>17</v>
      </c>
      <c r="B33" s="28">
        <v>63</v>
      </c>
      <c r="C33" s="38">
        <f>IF(C32="","",C32+B32)</f>
        <v>46211</v>
      </c>
    </row>
    <row r="34" spans="1:6" ht="14.25" customHeight="1" x14ac:dyDescent="0.3">
      <c r="A34" s="30" t="s">
        <v>18</v>
      </c>
      <c r="B34" s="31">
        <v>1</v>
      </c>
      <c r="C34" s="39">
        <f>IF(C33="","",C33+B33)</f>
        <v>46274</v>
      </c>
    </row>
    <row r="35" spans="1:6" ht="14.25" customHeight="1" x14ac:dyDescent="0.3">
      <c r="A35" s="27" t="s">
        <v>19</v>
      </c>
      <c r="B35" s="28">
        <v>7</v>
      </c>
      <c r="C35" s="38">
        <f>IF(C34="","",C34+B34)</f>
        <v>46275</v>
      </c>
    </row>
    <row r="36" spans="1:6" ht="14.25" customHeight="1" x14ac:dyDescent="0.3">
      <c r="A36" s="30" t="s">
        <v>20</v>
      </c>
      <c r="B36" s="31">
        <v>3</v>
      </c>
      <c r="C36" s="39">
        <f>IF(C35="","",C35+B35)</f>
        <v>46282</v>
      </c>
    </row>
    <row r="37" spans="1:6" ht="14.25" customHeight="1" x14ac:dyDescent="0.3">
      <c r="A37" s="27" t="s">
        <v>21</v>
      </c>
      <c r="B37" s="28"/>
      <c r="C37" s="38">
        <f>IF(C36="","",C36+B36)</f>
        <v>46285</v>
      </c>
    </row>
    <row r="38" spans="1:6" ht="14.25" customHeight="1" x14ac:dyDescent="0.3">
      <c r="A38" s="34"/>
      <c r="B38" s="34"/>
      <c r="C38" s="34"/>
    </row>
    <row r="39" spans="1:6" ht="14.25" customHeight="1" x14ac:dyDescent="0.3">
      <c r="A39" s="35" t="s">
        <v>22</v>
      </c>
      <c r="B39" s="36" t="s">
        <v>23</v>
      </c>
      <c r="C39" s="34"/>
    </row>
    <row r="40" spans="1:6" ht="14.25" customHeight="1" x14ac:dyDescent="0.3">
      <c r="A40" s="17"/>
      <c r="B40" s="4"/>
      <c r="C40" s="34"/>
    </row>
    <row r="41" spans="1:6" ht="14.25" customHeight="1" x14ac:dyDescent="0.3">
      <c r="A41" s="17"/>
      <c r="B41" s="4"/>
      <c r="C41" s="34"/>
    </row>
    <row r="42" spans="1:6" ht="14.25" customHeight="1" x14ac:dyDescent="0.3">
      <c r="A42" s="37" t="s">
        <v>29</v>
      </c>
      <c r="B42" s="10">
        <f>SUM(B40:B41)</f>
        <v>0</v>
      </c>
      <c r="C42" s="34"/>
    </row>
    <row r="43" spans="1:6" ht="14.25" customHeight="1" x14ac:dyDescent="0.3">
      <c r="A43" s="34"/>
      <c r="B43" s="34"/>
      <c r="C43" s="34"/>
    </row>
    <row r="44" spans="1:6" ht="14.25" customHeight="1" x14ac:dyDescent="0.3">
      <c r="A44" s="61" t="s">
        <v>30</v>
      </c>
      <c r="B44" s="62"/>
      <c r="C44" s="62"/>
      <c r="D44" s="62"/>
      <c r="E44" s="62"/>
      <c r="F44" s="62"/>
    </row>
    <row r="45" spans="1:6" ht="39.75" customHeight="1" x14ac:dyDescent="0.3">
      <c r="A45" s="57"/>
      <c r="B45" s="58"/>
      <c r="C45" s="58"/>
      <c r="D45" s="58"/>
      <c r="E45" s="58"/>
      <c r="F45" s="58"/>
    </row>
    <row r="46" spans="1:6" ht="14.25" customHeight="1" x14ac:dyDescent="0.3">
      <c r="A46" s="59"/>
      <c r="B46" s="60"/>
      <c r="C46" s="60"/>
      <c r="D46" s="60"/>
      <c r="E46" s="60"/>
      <c r="F46" s="60"/>
    </row>
    <row r="47" spans="1:6" ht="14.25" customHeight="1" x14ac:dyDescent="0.3">
      <c r="A47" s="34"/>
      <c r="B47" s="34"/>
      <c r="C47" s="34"/>
    </row>
    <row r="48" spans="1:6" ht="19.5" customHeight="1" x14ac:dyDescent="0.3">
      <c r="A48" s="65" t="s">
        <v>32</v>
      </c>
      <c r="B48" s="62"/>
      <c r="C48" s="62"/>
      <c r="D48" s="62"/>
      <c r="E48" s="62"/>
      <c r="F48" s="62"/>
    </row>
    <row r="49" spans="1:3" ht="14.25" customHeight="1" x14ac:dyDescent="0.3">
      <c r="A49" s="10" t="s">
        <v>10</v>
      </c>
      <c r="B49" s="10" t="s">
        <v>11</v>
      </c>
      <c r="C49" s="10" t="s">
        <v>12</v>
      </c>
    </row>
    <row r="50" spans="1:3" ht="14.25" customHeight="1" x14ac:dyDescent="0.3">
      <c r="A50" s="27" t="s">
        <v>13</v>
      </c>
      <c r="B50" s="28">
        <v>21</v>
      </c>
      <c r="C50" s="18"/>
    </row>
    <row r="51" spans="1:3" ht="14.25" customHeight="1" x14ac:dyDescent="0.3">
      <c r="A51" s="30" t="s">
        <v>14</v>
      </c>
      <c r="B51" s="31">
        <v>14</v>
      </c>
      <c r="C51" s="32"/>
    </row>
    <row r="52" spans="1:3" ht="14.25" customHeight="1" x14ac:dyDescent="0.3">
      <c r="A52" s="27" t="s">
        <v>15</v>
      </c>
      <c r="B52" s="28">
        <v>14</v>
      </c>
      <c r="C52" s="29"/>
    </row>
    <row r="53" spans="1:3" ht="14.25" customHeight="1" x14ac:dyDescent="0.3">
      <c r="A53" s="30" t="s">
        <v>16</v>
      </c>
      <c r="B53" s="31">
        <v>16</v>
      </c>
      <c r="C53" s="39">
        <f>C36+1</f>
        <v>46283</v>
      </c>
    </row>
    <row r="54" spans="1:3" ht="14.25" customHeight="1" x14ac:dyDescent="0.3">
      <c r="A54" s="27" t="s">
        <v>17</v>
      </c>
      <c r="B54" s="28">
        <v>63</v>
      </c>
      <c r="C54" s="29">
        <f>IF(C53="","",C53+B53)</f>
        <v>46299</v>
      </c>
    </row>
    <row r="55" spans="1:3" ht="14.25" customHeight="1" x14ac:dyDescent="0.3">
      <c r="A55" s="30" t="s">
        <v>18</v>
      </c>
      <c r="B55" s="31">
        <v>1</v>
      </c>
      <c r="C55" s="32">
        <f>IF(C54="","",C54+B54)</f>
        <v>46362</v>
      </c>
    </row>
    <row r="56" spans="1:3" ht="14.25" customHeight="1" x14ac:dyDescent="0.3">
      <c r="A56" s="27" t="s">
        <v>19</v>
      </c>
      <c r="B56" s="28">
        <v>7</v>
      </c>
      <c r="C56" s="29">
        <f>IF(C55="","",C55+B55)</f>
        <v>46363</v>
      </c>
    </row>
    <row r="57" spans="1:3" ht="14.25" customHeight="1" x14ac:dyDescent="0.3">
      <c r="A57" s="30" t="s">
        <v>20</v>
      </c>
      <c r="B57" s="31">
        <v>3</v>
      </c>
      <c r="C57" s="32">
        <f>IF(C56="","",C56+B56)</f>
        <v>46370</v>
      </c>
    </row>
    <row r="58" spans="1:3" ht="14.25" customHeight="1" x14ac:dyDescent="0.3">
      <c r="A58" s="27" t="s">
        <v>21</v>
      </c>
      <c r="B58" s="28"/>
      <c r="C58" s="29">
        <f>IF(C57="","",C57+B57)</f>
        <v>46373</v>
      </c>
    </row>
    <row r="59" spans="1:3" ht="14.25" customHeight="1" x14ac:dyDescent="0.3">
      <c r="A59" s="34"/>
      <c r="B59" s="34"/>
      <c r="C59" s="34"/>
    </row>
    <row r="60" spans="1:3" ht="14.25" customHeight="1" x14ac:dyDescent="0.3">
      <c r="A60" s="35" t="s">
        <v>22</v>
      </c>
      <c r="B60" s="36" t="s">
        <v>23</v>
      </c>
      <c r="C60" s="34"/>
    </row>
    <row r="61" spans="1:3" ht="14.25" customHeight="1" x14ac:dyDescent="0.3">
      <c r="A61" s="17"/>
      <c r="B61" s="4"/>
      <c r="C61" s="34"/>
    </row>
    <row r="62" spans="1:3" ht="14.25" customHeight="1" x14ac:dyDescent="0.3">
      <c r="A62" s="17"/>
      <c r="B62" s="4"/>
      <c r="C62" s="34"/>
    </row>
    <row r="63" spans="1:3" ht="14.25" customHeight="1" x14ac:dyDescent="0.3">
      <c r="A63" s="37" t="s">
        <v>29</v>
      </c>
      <c r="B63" s="10">
        <f>SUM(B61:B62)</f>
        <v>0</v>
      </c>
      <c r="C63" s="34"/>
    </row>
    <row r="64" spans="1:3" ht="14.25" customHeight="1" x14ac:dyDescent="0.3">
      <c r="A64" s="34"/>
      <c r="B64" s="34"/>
      <c r="C64" s="34"/>
    </row>
    <row r="65" spans="1:6" ht="14.25" customHeight="1" x14ac:dyDescent="0.3">
      <c r="A65" s="61" t="s">
        <v>30</v>
      </c>
      <c r="B65" s="62"/>
      <c r="C65" s="62"/>
      <c r="D65" s="62"/>
      <c r="E65" s="62"/>
      <c r="F65" s="62"/>
    </row>
    <row r="66" spans="1:6" ht="39.75" customHeight="1" x14ac:dyDescent="0.3">
      <c r="A66" s="57"/>
      <c r="B66" s="58"/>
      <c r="C66" s="58"/>
      <c r="D66" s="58"/>
      <c r="E66" s="58"/>
      <c r="F66" s="58"/>
    </row>
    <row r="67" spans="1:6" ht="14.25" customHeight="1" x14ac:dyDescent="0.3">
      <c r="A67" s="59"/>
      <c r="B67" s="60"/>
      <c r="C67" s="60"/>
      <c r="D67" s="60"/>
      <c r="E67" s="60"/>
      <c r="F67" s="60"/>
    </row>
    <row r="68" spans="1:6" ht="14.25" customHeight="1" x14ac:dyDescent="0.3">
      <c r="A68" s="34"/>
      <c r="B68" s="34"/>
      <c r="C68" s="34"/>
    </row>
    <row r="69" spans="1:6" ht="19.5" customHeight="1" x14ac:dyDescent="0.3">
      <c r="A69" s="65" t="s">
        <v>33</v>
      </c>
      <c r="B69" s="62"/>
      <c r="C69" s="62"/>
      <c r="D69" s="62"/>
      <c r="E69" s="62"/>
      <c r="F69" s="62"/>
    </row>
    <row r="70" spans="1:6" ht="14.25" customHeight="1" x14ac:dyDescent="0.3">
      <c r="A70" s="10" t="s">
        <v>10</v>
      </c>
      <c r="B70" s="10" t="s">
        <v>11</v>
      </c>
      <c r="C70" s="10" t="s">
        <v>12</v>
      </c>
    </row>
    <row r="71" spans="1:6" ht="14.25" customHeight="1" x14ac:dyDescent="0.3">
      <c r="A71" s="27" t="s">
        <v>13</v>
      </c>
      <c r="B71" s="28">
        <v>21</v>
      </c>
      <c r="C71" s="18"/>
    </row>
    <row r="72" spans="1:6" ht="14.25" customHeight="1" x14ac:dyDescent="0.3">
      <c r="A72" s="30" t="s">
        <v>14</v>
      </c>
      <c r="B72" s="31">
        <v>14</v>
      </c>
      <c r="C72" s="39"/>
    </row>
    <row r="73" spans="1:6" ht="14.25" customHeight="1" x14ac:dyDescent="0.3">
      <c r="A73" s="27" t="s">
        <v>15</v>
      </c>
      <c r="B73" s="28">
        <v>14</v>
      </c>
      <c r="C73" s="38"/>
    </row>
    <row r="74" spans="1:6" ht="14.25" customHeight="1" x14ac:dyDescent="0.3">
      <c r="A74" s="30" t="s">
        <v>16</v>
      </c>
      <c r="B74" s="31">
        <v>16</v>
      </c>
      <c r="C74" s="39">
        <f>C57+1</f>
        <v>46371</v>
      </c>
    </row>
    <row r="75" spans="1:6" ht="14.25" customHeight="1" x14ac:dyDescent="0.3">
      <c r="A75" s="27" t="s">
        <v>17</v>
      </c>
      <c r="B75" s="28">
        <v>63</v>
      </c>
      <c r="C75" s="38">
        <f>IF(C74="","",C74+B74)</f>
        <v>46387</v>
      </c>
    </row>
    <row r="76" spans="1:6" ht="14.25" customHeight="1" x14ac:dyDescent="0.3">
      <c r="A76" s="30" t="s">
        <v>18</v>
      </c>
      <c r="B76" s="31">
        <v>1</v>
      </c>
      <c r="C76" s="39">
        <f>IF(C75="","",C75+B75)</f>
        <v>46450</v>
      </c>
    </row>
    <row r="77" spans="1:6" ht="14.25" customHeight="1" x14ac:dyDescent="0.3">
      <c r="A77" s="27" t="s">
        <v>19</v>
      </c>
      <c r="B77" s="28">
        <v>7</v>
      </c>
      <c r="C77" s="38">
        <f>IF(C76="","",C76+B76)</f>
        <v>46451</v>
      </c>
    </row>
    <row r="78" spans="1:6" ht="14.25" customHeight="1" x14ac:dyDescent="0.3">
      <c r="A78" s="30" t="s">
        <v>20</v>
      </c>
      <c r="B78" s="31">
        <v>3</v>
      </c>
      <c r="C78" s="39">
        <f>IF(C77="","",C77+B77)</f>
        <v>46458</v>
      </c>
    </row>
    <row r="79" spans="1:6" ht="14.25" customHeight="1" x14ac:dyDescent="0.3">
      <c r="A79" s="27" t="s">
        <v>21</v>
      </c>
      <c r="B79" s="28"/>
      <c r="C79" s="38">
        <f>IF(C78="","",C78+B78)</f>
        <v>46461</v>
      </c>
    </row>
    <row r="80" spans="1:6" ht="14.25" customHeight="1" x14ac:dyDescent="0.3">
      <c r="A80" s="34"/>
      <c r="B80" s="34"/>
      <c r="C80" s="34"/>
    </row>
    <row r="81" spans="1:6" ht="14.25" customHeight="1" x14ac:dyDescent="0.3">
      <c r="A81" s="35" t="s">
        <v>22</v>
      </c>
      <c r="B81" s="36" t="s">
        <v>23</v>
      </c>
      <c r="C81" s="34"/>
    </row>
    <row r="82" spans="1:6" ht="14.25" customHeight="1" x14ac:dyDescent="0.3">
      <c r="A82" s="17"/>
      <c r="B82" s="4"/>
      <c r="C82" s="34"/>
    </row>
    <row r="83" spans="1:6" ht="14.25" customHeight="1" x14ac:dyDescent="0.3">
      <c r="A83" s="17"/>
      <c r="B83" s="4"/>
      <c r="C83" s="34"/>
    </row>
    <row r="84" spans="1:6" ht="14.25" customHeight="1" x14ac:dyDescent="0.3">
      <c r="A84" s="37" t="s">
        <v>29</v>
      </c>
      <c r="B84" s="10">
        <f>SUM(B82:B83)</f>
        <v>0</v>
      </c>
      <c r="C84" s="34"/>
    </row>
    <row r="85" spans="1:6" ht="14.25" customHeight="1" x14ac:dyDescent="0.3">
      <c r="A85" s="34"/>
      <c r="B85" s="34"/>
      <c r="C85" s="34"/>
    </row>
    <row r="86" spans="1:6" ht="14.25" customHeight="1" x14ac:dyDescent="0.3">
      <c r="A86" s="61" t="s">
        <v>30</v>
      </c>
      <c r="B86" s="62"/>
      <c r="C86" s="62"/>
      <c r="D86" s="62"/>
      <c r="E86" s="62"/>
      <c r="F86" s="62"/>
    </row>
    <row r="87" spans="1:6" ht="39.75" customHeight="1" x14ac:dyDescent="0.3">
      <c r="A87" s="57"/>
      <c r="B87" s="58"/>
      <c r="C87" s="58"/>
      <c r="D87" s="58"/>
      <c r="E87" s="58"/>
      <c r="F87" s="58"/>
    </row>
    <row r="88" spans="1:6" ht="14.25" customHeight="1" x14ac:dyDescent="0.3">
      <c r="A88" s="59"/>
      <c r="B88" s="60"/>
      <c r="C88" s="60"/>
      <c r="D88" s="60"/>
      <c r="E88" s="60"/>
      <c r="F88" s="60"/>
    </row>
    <row r="89" spans="1:6" ht="14.25" customHeight="1" x14ac:dyDescent="0.3">
      <c r="A89" s="34"/>
      <c r="B89" s="34"/>
      <c r="C89" s="34"/>
    </row>
    <row r="90" spans="1:6" ht="19.5" customHeight="1" x14ac:dyDescent="0.3">
      <c r="A90" s="65" t="s">
        <v>34</v>
      </c>
      <c r="B90" s="62"/>
      <c r="C90" s="62"/>
      <c r="D90" s="62"/>
      <c r="E90" s="62"/>
      <c r="F90" s="62"/>
    </row>
    <row r="91" spans="1:6" ht="14.25" customHeight="1" x14ac:dyDescent="0.3">
      <c r="A91" s="10" t="s">
        <v>10</v>
      </c>
      <c r="B91" s="10" t="s">
        <v>11</v>
      </c>
      <c r="C91" s="10" t="s">
        <v>12</v>
      </c>
    </row>
    <row r="92" spans="1:6" ht="14.25" customHeight="1" x14ac:dyDescent="0.3">
      <c r="A92" s="27" t="s">
        <v>13</v>
      </c>
      <c r="B92" s="28">
        <v>21</v>
      </c>
      <c r="C92" s="18"/>
    </row>
    <row r="93" spans="1:6" ht="14.25" customHeight="1" x14ac:dyDescent="0.3">
      <c r="A93" s="30" t="s">
        <v>14</v>
      </c>
      <c r="B93" s="31">
        <v>14</v>
      </c>
      <c r="C93" s="39"/>
    </row>
    <row r="94" spans="1:6" ht="14.25" customHeight="1" x14ac:dyDescent="0.3">
      <c r="A94" s="27" t="s">
        <v>15</v>
      </c>
      <c r="B94" s="28">
        <v>14</v>
      </c>
      <c r="C94" s="38"/>
    </row>
    <row r="95" spans="1:6" ht="14.25" customHeight="1" x14ac:dyDescent="0.3">
      <c r="A95" s="30" t="s">
        <v>16</v>
      </c>
      <c r="B95" s="31">
        <v>16</v>
      </c>
      <c r="C95" s="39">
        <f>C78+1</f>
        <v>46459</v>
      </c>
    </row>
    <row r="96" spans="1:6" ht="14.25" customHeight="1" x14ac:dyDescent="0.3">
      <c r="A96" s="27" t="s">
        <v>17</v>
      </c>
      <c r="B96" s="28">
        <v>63</v>
      </c>
      <c r="C96" s="38">
        <f>IF(C95="","",C95+B95)</f>
        <v>46475</v>
      </c>
    </row>
    <row r="97" spans="1:6" ht="14.25" customHeight="1" x14ac:dyDescent="0.3">
      <c r="A97" s="30" t="s">
        <v>18</v>
      </c>
      <c r="B97" s="31">
        <v>1</v>
      </c>
      <c r="C97" s="39">
        <f>IF(C96="","",C96+B96)</f>
        <v>46538</v>
      </c>
    </row>
    <row r="98" spans="1:6" ht="14.25" customHeight="1" x14ac:dyDescent="0.3">
      <c r="A98" s="27" t="s">
        <v>19</v>
      </c>
      <c r="B98" s="28">
        <v>7</v>
      </c>
      <c r="C98" s="38">
        <f>IF(C97="","",C97+B97)</f>
        <v>46539</v>
      </c>
    </row>
    <row r="99" spans="1:6" ht="14.25" customHeight="1" x14ac:dyDescent="0.3">
      <c r="A99" s="30" t="s">
        <v>20</v>
      </c>
      <c r="B99" s="31">
        <v>3</v>
      </c>
      <c r="C99" s="39">
        <f>IF(C98="","",C98+B98)</f>
        <v>46546</v>
      </c>
    </row>
    <row r="100" spans="1:6" ht="14.25" customHeight="1" x14ac:dyDescent="0.3">
      <c r="A100" s="27" t="s">
        <v>21</v>
      </c>
      <c r="B100" s="28"/>
      <c r="C100" s="38">
        <f>IF(C99="","",C99+B99)</f>
        <v>46549</v>
      </c>
    </row>
    <row r="101" spans="1:6" ht="14.25" customHeight="1" x14ac:dyDescent="0.3">
      <c r="A101" s="34"/>
      <c r="B101" s="34"/>
      <c r="C101" s="34"/>
    </row>
    <row r="102" spans="1:6" ht="14.25" customHeight="1" x14ac:dyDescent="0.3">
      <c r="A102" s="35" t="s">
        <v>22</v>
      </c>
      <c r="B102" s="36" t="s">
        <v>23</v>
      </c>
      <c r="C102" s="34"/>
    </row>
    <row r="103" spans="1:6" ht="14.25" customHeight="1" x14ac:dyDescent="0.3">
      <c r="A103" s="17"/>
      <c r="B103" s="4"/>
      <c r="C103" s="34"/>
    </row>
    <row r="104" spans="1:6" ht="14.25" customHeight="1" x14ac:dyDescent="0.3">
      <c r="A104" s="17"/>
      <c r="B104" s="4"/>
      <c r="C104" s="34"/>
    </row>
    <row r="105" spans="1:6" ht="14.25" customHeight="1" x14ac:dyDescent="0.3">
      <c r="A105" s="37" t="s">
        <v>29</v>
      </c>
      <c r="B105" s="10">
        <f>SUM(B103:B104)</f>
        <v>0</v>
      </c>
      <c r="C105" s="34"/>
    </row>
    <row r="106" spans="1:6" ht="14.25" customHeight="1" x14ac:dyDescent="0.3">
      <c r="A106" s="34"/>
      <c r="B106" s="34"/>
      <c r="C106" s="34"/>
    </row>
    <row r="107" spans="1:6" ht="14.25" customHeight="1" x14ac:dyDescent="0.3">
      <c r="A107" s="61" t="s">
        <v>30</v>
      </c>
      <c r="B107" s="62"/>
      <c r="C107" s="62"/>
      <c r="D107" s="62"/>
      <c r="E107" s="62"/>
      <c r="F107" s="62"/>
    </row>
    <row r="108" spans="1:6" ht="39.75" customHeight="1" x14ac:dyDescent="0.3">
      <c r="A108" s="57"/>
      <c r="B108" s="58"/>
      <c r="C108" s="58"/>
      <c r="D108" s="58"/>
      <c r="E108" s="58"/>
      <c r="F108" s="58"/>
    </row>
    <row r="109" spans="1:6" ht="14.25" customHeight="1" x14ac:dyDescent="0.3">
      <c r="A109" s="59"/>
      <c r="B109" s="60"/>
      <c r="C109" s="60"/>
      <c r="D109" s="60"/>
      <c r="E109" s="60"/>
      <c r="F109" s="60"/>
    </row>
    <row r="110" spans="1:6" ht="14.25" customHeight="1" x14ac:dyDescent="0.3">
      <c r="A110" s="34"/>
      <c r="B110" s="34"/>
      <c r="C110" s="34"/>
    </row>
  </sheetData>
  <mergeCells count="17">
    <mergeCell ref="A108:F109"/>
    <mergeCell ref="A86:F86"/>
    <mergeCell ref="A65:F65"/>
    <mergeCell ref="A45:F46"/>
    <mergeCell ref="A107:F107"/>
    <mergeCell ref="H1:M1"/>
    <mergeCell ref="A90:F90"/>
    <mergeCell ref="A44:F44"/>
    <mergeCell ref="A1:F1"/>
    <mergeCell ref="A23:F23"/>
    <mergeCell ref="A66:F67"/>
    <mergeCell ref="A27:F27"/>
    <mergeCell ref="A87:F88"/>
    <mergeCell ref="A24:F25"/>
    <mergeCell ref="A48:F48"/>
    <mergeCell ref="A3:F3"/>
    <mergeCell ref="A69:F69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0916C"/>
  </sheetPr>
  <dimension ref="A1:N94"/>
  <sheetViews>
    <sheetView showGridLines="0" zoomScaleNormal="100" workbookViewId="0">
      <selection activeCell="B15" sqref="B15"/>
    </sheetView>
  </sheetViews>
  <sheetFormatPr baseColWidth="10" defaultColWidth="8.6640625" defaultRowHeight="14.4" x14ac:dyDescent="0.3"/>
  <cols>
    <col min="1" max="1" width="22" customWidth="1"/>
    <col min="2" max="2" width="8" customWidth="1"/>
    <col min="3" max="3" width="16" customWidth="1"/>
    <col min="4" max="4" width="2" customWidth="1"/>
    <col min="5" max="5" width="14" customWidth="1"/>
    <col min="6" max="6" width="16" customWidth="1"/>
    <col min="8" max="8" width="14" customWidth="1"/>
    <col min="9" max="9" width="8" customWidth="1"/>
    <col min="10" max="12" width="10" customWidth="1"/>
    <col min="13" max="13" width="13" customWidth="1"/>
    <col min="14" max="14" width="20" customWidth="1"/>
  </cols>
  <sheetData>
    <row r="1" spans="1:14" ht="30" customHeight="1" x14ac:dyDescent="0.3">
      <c r="A1" s="66" t="s">
        <v>118</v>
      </c>
      <c r="B1" s="64"/>
      <c r="C1" s="64"/>
      <c r="D1" s="64"/>
      <c r="E1" s="64"/>
      <c r="F1" s="64"/>
      <c r="H1" s="63" t="s">
        <v>1</v>
      </c>
      <c r="I1" s="64"/>
      <c r="J1" s="64"/>
      <c r="K1" s="64"/>
      <c r="L1" s="64"/>
      <c r="M1" s="64"/>
    </row>
    <row r="2" spans="1:14" ht="24" customHeight="1" x14ac:dyDescent="0.3">
      <c r="H2" s="7" t="s">
        <v>2</v>
      </c>
      <c r="I2" s="7" t="s">
        <v>3</v>
      </c>
      <c r="J2" s="7" t="s">
        <v>4</v>
      </c>
      <c r="K2" s="7" t="s">
        <v>5</v>
      </c>
      <c r="L2" s="7" t="s">
        <v>6</v>
      </c>
      <c r="M2" s="1" t="s">
        <v>7</v>
      </c>
      <c r="N2" s="7" t="s">
        <v>8</v>
      </c>
    </row>
    <row r="3" spans="1:14" ht="19.5" customHeight="1" x14ac:dyDescent="0.3">
      <c r="A3" s="65" t="s">
        <v>9</v>
      </c>
      <c r="B3" s="62"/>
      <c r="C3" s="62"/>
      <c r="D3" s="62"/>
      <c r="E3" s="62"/>
      <c r="F3" s="62"/>
      <c r="H3" s="8"/>
      <c r="I3" s="9"/>
      <c r="J3" s="9"/>
      <c r="K3" s="9"/>
      <c r="L3" s="9"/>
      <c r="M3" s="4"/>
      <c r="N3" s="9"/>
    </row>
    <row r="4" spans="1:14" ht="14.25" customHeight="1" x14ac:dyDescent="0.3">
      <c r="A4" s="10" t="s">
        <v>10</v>
      </c>
      <c r="B4" s="10" t="s">
        <v>11</v>
      </c>
      <c r="C4" s="10" t="s">
        <v>12</v>
      </c>
      <c r="H4" s="8"/>
      <c r="I4" s="9"/>
      <c r="J4" s="9"/>
      <c r="K4" s="9"/>
      <c r="L4" s="9"/>
      <c r="M4" s="4"/>
      <c r="N4" s="9"/>
    </row>
    <row r="5" spans="1:14" ht="14.25" customHeight="1" x14ac:dyDescent="0.3">
      <c r="A5" s="24" t="s">
        <v>119</v>
      </c>
      <c r="B5" s="25">
        <v>20</v>
      </c>
      <c r="C5" s="26">
        <v>46178</v>
      </c>
      <c r="H5" s="8"/>
      <c r="I5" s="9"/>
      <c r="J5" s="9"/>
      <c r="K5" s="9"/>
      <c r="L5" s="9"/>
      <c r="M5" s="4"/>
      <c r="N5" s="9"/>
    </row>
    <row r="6" spans="1:14" ht="14.25" customHeight="1" x14ac:dyDescent="0.3">
      <c r="A6" s="30" t="s">
        <v>17</v>
      </c>
      <c r="B6" s="31">
        <v>63</v>
      </c>
      <c r="C6" s="32">
        <f>IF(C5="","",C5+B5)</f>
        <v>46198</v>
      </c>
      <c r="H6" s="8"/>
      <c r="I6" s="9"/>
      <c r="J6" s="9"/>
      <c r="K6" s="9"/>
      <c r="L6" s="9"/>
      <c r="M6" s="4"/>
      <c r="N6" s="9"/>
    </row>
    <row r="7" spans="1:14" ht="14.25" customHeight="1" x14ac:dyDescent="0.3">
      <c r="A7" s="27" t="s">
        <v>18</v>
      </c>
      <c r="B7" s="28">
        <v>1</v>
      </c>
      <c r="C7" s="29">
        <f>IF(C6="","",C6+B6)</f>
        <v>46261</v>
      </c>
      <c r="H7" s="8"/>
      <c r="I7" s="9"/>
      <c r="J7" s="9"/>
      <c r="K7" s="9"/>
      <c r="L7" s="9"/>
      <c r="M7" s="4"/>
      <c r="N7" s="9"/>
    </row>
    <row r="8" spans="1:14" ht="14.25" customHeight="1" x14ac:dyDescent="0.3">
      <c r="A8" s="30" t="s">
        <v>19</v>
      </c>
      <c r="B8" s="31">
        <v>7</v>
      </c>
      <c r="C8" s="32">
        <f>IF(C7="","",C7+B7)</f>
        <v>46262</v>
      </c>
      <c r="H8" s="8"/>
      <c r="I8" s="9"/>
      <c r="J8" s="9"/>
      <c r="K8" s="9"/>
      <c r="L8" s="9"/>
      <c r="M8" s="4"/>
      <c r="N8" s="9"/>
    </row>
    <row r="9" spans="1:14" ht="14.25" customHeight="1" x14ac:dyDescent="0.3">
      <c r="A9" s="27" t="s">
        <v>20</v>
      </c>
      <c r="B9" s="28">
        <v>3</v>
      </c>
      <c r="C9" s="29">
        <f>IF(C8="","",C8+B8)</f>
        <v>46269</v>
      </c>
      <c r="H9" s="8"/>
      <c r="I9" s="9"/>
      <c r="J9" s="9"/>
      <c r="K9" s="9"/>
      <c r="L9" s="9"/>
      <c r="M9" s="4"/>
      <c r="N9" s="9"/>
    </row>
    <row r="10" spans="1:14" ht="14.25" customHeight="1" x14ac:dyDescent="0.3">
      <c r="A10" s="30" t="s">
        <v>21</v>
      </c>
      <c r="B10" s="31"/>
      <c r="C10" s="32">
        <f>IF(C9="","",C9+B9)</f>
        <v>46272</v>
      </c>
      <c r="H10" s="8"/>
      <c r="I10" s="9"/>
      <c r="J10" s="9"/>
      <c r="K10" s="9"/>
      <c r="L10" s="9"/>
      <c r="M10" s="4"/>
      <c r="N10" s="9"/>
    </row>
    <row r="11" spans="1:14" ht="14.25" customHeight="1" x14ac:dyDescent="0.3">
      <c r="A11" s="34"/>
      <c r="B11" s="34"/>
      <c r="C11" s="34"/>
      <c r="H11" s="8"/>
      <c r="I11" s="9"/>
      <c r="J11" s="9"/>
      <c r="K11" s="9"/>
      <c r="L11" s="9"/>
      <c r="M11" s="4"/>
      <c r="N11" s="9"/>
    </row>
    <row r="12" spans="1:14" ht="14.25" customHeight="1" x14ac:dyDescent="0.3">
      <c r="A12" s="35" t="s">
        <v>22</v>
      </c>
      <c r="B12" s="36" t="s">
        <v>23</v>
      </c>
      <c r="C12" s="34"/>
      <c r="H12" s="8"/>
      <c r="I12" s="9"/>
      <c r="J12" s="9"/>
      <c r="K12" s="9"/>
      <c r="L12" s="9"/>
      <c r="M12" s="4"/>
      <c r="N12" s="9"/>
    </row>
    <row r="13" spans="1:14" ht="14.25" customHeight="1" x14ac:dyDescent="0.3">
      <c r="A13" s="17" t="s">
        <v>25</v>
      </c>
      <c r="B13" s="4">
        <v>3</v>
      </c>
      <c r="C13" s="34"/>
      <c r="H13" s="8"/>
      <c r="I13" s="9"/>
      <c r="J13" s="9"/>
      <c r="K13" s="9"/>
      <c r="L13" s="9"/>
      <c r="M13" s="4"/>
      <c r="N13" s="9"/>
    </row>
    <row r="14" spans="1:14" ht="14.25" customHeight="1" x14ac:dyDescent="0.3">
      <c r="A14" s="17" t="s">
        <v>120</v>
      </c>
      <c r="B14" s="4">
        <v>2</v>
      </c>
      <c r="C14" s="34"/>
      <c r="H14" s="8"/>
      <c r="I14" s="9"/>
      <c r="J14" s="9"/>
      <c r="K14" s="9"/>
      <c r="L14" s="9"/>
      <c r="M14" s="4"/>
      <c r="N14" s="9"/>
    </row>
    <row r="15" spans="1:14" ht="14.25" customHeight="1" x14ac:dyDescent="0.3">
      <c r="A15" s="17"/>
      <c r="B15" s="4"/>
      <c r="C15" s="34"/>
      <c r="H15" s="8"/>
      <c r="I15" s="9"/>
      <c r="J15" s="9"/>
      <c r="K15" s="9"/>
      <c r="L15" s="9"/>
      <c r="M15" s="4"/>
      <c r="N15" s="9"/>
    </row>
    <row r="16" spans="1:14" ht="14.25" customHeight="1" x14ac:dyDescent="0.3">
      <c r="A16" s="17" t="s">
        <v>24</v>
      </c>
      <c r="B16" s="4">
        <v>5</v>
      </c>
      <c r="C16" s="34"/>
      <c r="H16" s="8"/>
      <c r="I16" s="9"/>
      <c r="J16" s="9"/>
      <c r="K16" s="9"/>
      <c r="L16" s="9"/>
      <c r="M16" s="4"/>
      <c r="N16" s="9"/>
    </row>
    <row r="17" spans="1:14" ht="14.25" customHeight="1" x14ac:dyDescent="0.3">
      <c r="A17" s="37" t="s">
        <v>29</v>
      </c>
      <c r="B17" s="10">
        <f>SUM(B13:B16)</f>
        <v>10</v>
      </c>
      <c r="C17" s="34"/>
      <c r="H17" s="8"/>
      <c r="I17" s="9"/>
      <c r="J17" s="9"/>
      <c r="K17" s="9"/>
      <c r="L17" s="9"/>
      <c r="M17" s="4"/>
      <c r="N17" s="9"/>
    </row>
    <row r="18" spans="1:14" ht="14.25" customHeight="1" x14ac:dyDescent="0.3">
      <c r="A18" s="34"/>
      <c r="B18" s="34"/>
      <c r="C18" s="34"/>
      <c r="H18" s="8"/>
      <c r="I18" s="9"/>
      <c r="J18" s="9"/>
      <c r="K18" s="9"/>
      <c r="L18" s="9"/>
      <c r="M18" s="4"/>
      <c r="N18" s="9"/>
    </row>
    <row r="19" spans="1:14" ht="14.25" customHeight="1" x14ac:dyDescent="0.3">
      <c r="A19" s="61" t="s">
        <v>30</v>
      </c>
      <c r="B19" s="62"/>
      <c r="C19" s="62"/>
      <c r="D19" s="62"/>
      <c r="E19" s="62"/>
      <c r="F19" s="62"/>
      <c r="H19" s="8"/>
      <c r="I19" s="9"/>
      <c r="J19" s="9"/>
      <c r="K19" s="9"/>
      <c r="L19" s="9"/>
      <c r="M19" s="4"/>
      <c r="N19" s="9"/>
    </row>
    <row r="20" spans="1:14" ht="39.75" customHeight="1" x14ac:dyDescent="0.3">
      <c r="A20" s="57"/>
      <c r="B20" s="58"/>
      <c r="C20" s="58"/>
      <c r="D20" s="58"/>
      <c r="E20" s="58"/>
      <c r="F20" s="58"/>
      <c r="H20" s="8"/>
      <c r="I20" s="9"/>
      <c r="J20" s="9"/>
      <c r="K20" s="9"/>
      <c r="L20" s="9"/>
      <c r="N20" s="9"/>
    </row>
    <row r="21" spans="1:14" ht="14.25" customHeight="1" x14ac:dyDescent="0.3">
      <c r="A21" s="59"/>
      <c r="B21" s="60"/>
      <c r="C21" s="60"/>
      <c r="D21" s="60"/>
      <c r="E21" s="60"/>
      <c r="F21" s="60"/>
      <c r="H21" s="8"/>
      <c r="I21" s="9"/>
      <c r="J21" s="9"/>
      <c r="K21" s="9"/>
      <c r="L21" s="9"/>
      <c r="N21" s="9"/>
    </row>
    <row r="22" spans="1:14" ht="14.25" customHeight="1" x14ac:dyDescent="0.3">
      <c r="A22" s="34"/>
      <c r="B22" s="34"/>
      <c r="C22" s="34"/>
    </row>
    <row r="23" spans="1:14" ht="19.5" customHeight="1" x14ac:dyDescent="0.3">
      <c r="A23" s="65" t="s">
        <v>31</v>
      </c>
      <c r="B23" s="62"/>
      <c r="C23" s="62"/>
      <c r="D23" s="62"/>
      <c r="E23" s="62"/>
      <c r="F23" s="62"/>
    </row>
    <row r="24" spans="1:14" ht="14.25" customHeight="1" x14ac:dyDescent="0.3">
      <c r="A24" s="10" t="s">
        <v>10</v>
      </c>
      <c r="B24" s="10" t="s">
        <v>11</v>
      </c>
      <c r="C24" s="10" t="s">
        <v>12</v>
      </c>
    </row>
    <row r="25" spans="1:14" ht="14.25" customHeight="1" x14ac:dyDescent="0.3">
      <c r="A25" s="27" t="s">
        <v>119</v>
      </c>
      <c r="B25" s="28">
        <v>20</v>
      </c>
      <c r="C25" s="42">
        <f>C9+1</f>
        <v>46270</v>
      </c>
    </row>
    <row r="26" spans="1:14" ht="14.25" customHeight="1" x14ac:dyDescent="0.3">
      <c r="A26" s="30" t="s">
        <v>17</v>
      </c>
      <c r="B26" s="31">
        <v>63</v>
      </c>
      <c r="C26" s="39">
        <f>IF(C25="","",C25+B25)</f>
        <v>46290</v>
      </c>
    </row>
    <row r="27" spans="1:14" ht="14.25" customHeight="1" x14ac:dyDescent="0.3">
      <c r="A27" s="27" t="s">
        <v>18</v>
      </c>
      <c r="B27" s="28">
        <v>1</v>
      </c>
      <c r="C27" s="38">
        <f>IF(C26="","",C26+B26)</f>
        <v>46353</v>
      </c>
    </row>
    <row r="28" spans="1:14" ht="14.25" customHeight="1" x14ac:dyDescent="0.3">
      <c r="A28" s="30" t="s">
        <v>19</v>
      </c>
      <c r="B28" s="31">
        <v>7</v>
      </c>
      <c r="C28" s="39">
        <f>IF(C27="","",C27+B27)</f>
        <v>46354</v>
      </c>
    </row>
    <row r="29" spans="1:14" ht="14.25" customHeight="1" x14ac:dyDescent="0.3">
      <c r="A29" s="27" t="s">
        <v>20</v>
      </c>
      <c r="B29" s="28">
        <v>3</v>
      </c>
      <c r="C29" s="38">
        <f>IF(C28="","",C28+B28)</f>
        <v>46361</v>
      </c>
    </row>
    <row r="30" spans="1:14" ht="14.25" customHeight="1" x14ac:dyDescent="0.3">
      <c r="A30" s="30" t="s">
        <v>21</v>
      </c>
      <c r="B30" s="31"/>
      <c r="C30" s="39">
        <f>IF(C29="","",C29+B29)</f>
        <v>46364</v>
      </c>
    </row>
    <row r="31" spans="1:14" ht="14.25" customHeight="1" x14ac:dyDescent="0.3">
      <c r="A31" s="34"/>
      <c r="B31" s="34"/>
      <c r="C31" s="34"/>
    </row>
    <row r="32" spans="1:14" ht="14.25" customHeight="1" x14ac:dyDescent="0.3">
      <c r="A32" s="35" t="s">
        <v>22</v>
      </c>
      <c r="B32" s="36" t="s">
        <v>23</v>
      </c>
      <c r="C32" s="34"/>
    </row>
    <row r="33" spans="1:6" ht="14.25" customHeight="1" x14ac:dyDescent="0.3">
      <c r="A33" s="17"/>
      <c r="B33" s="4"/>
      <c r="C33" s="34"/>
    </row>
    <row r="34" spans="1:6" ht="14.25" customHeight="1" x14ac:dyDescent="0.3">
      <c r="A34" s="17"/>
      <c r="B34" s="4"/>
      <c r="C34" s="34"/>
    </row>
    <row r="35" spans="1:6" ht="14.25" customHeight="1" x14ac:dyDescent="0.3">
      <c r="A35" s="37" t="s">
        <v>29</v>
      </c>
      <c r="B35" s="10">
        <f>SUM(B33:B34)</f>
        <v>0</v>
      </c>
      <c r="C35" s="34"/>
    </row>
    <row r="36" spans="1:6" ht="14.25" customHeight="1" x14ac:dyDescent="0.3">
      <c r="A36" s="34"/>
      <c r="B36" s="34"/>
      <c r="C36" s="34"/>
    </row>
    <row r="37" spans="1:6" ht="14.25" customHeight="1" x14ac:dyDescent="0.3">
      <c r="A37" s="61" t="s">
        <v>30</v>
      </c>
      <c r="B37" s="62"/>
      <c r="C37" s="62"/>
      <c r="D37" s="62"/>
      <c r="E37" s="62"/>
      <c r="F37" s="62"/>
    </row>
    <row r="38" spans="1:6" ht="39.75" customHeight="1" x14ac:dyDescent="0.3">
      <c r="A38" s="57"/>
      <c r="B38" s="58"/>
      <c r="C38" s="58"/>
      <c r="D38" s="58"/>
      <c r="E38" s="58"/>
      <c r="F38" s="58"/>
    </row>
    <row r="39" spans="1:6" ht="14.25" customHeight="1" x14ac:dyDescent="0.3">
      <c r="A39" s="59"/>
      <c r="B39" s="60"/>
      <c r="C39" s="60"/>
      <c r="D39" s="60"/>
      <c r="E39" s="60"/>
      <c r="F39" s="60"/>
    </row>
    <row r="40" spans="1:6" ht="14.25" customHeight="1" x14ac:dyDescent="0.3">
      <c r="A40" s="34"/>
      <c r="B40" s="34"/>
      <c r="C40" s="34"/>
    </row>
    <row r="41" spans="1:6" ht="19.5" customHeight="1" x14ac:dyDescent="0.3">
      <c r="A41" s="65" t="s">
        <v>32</v>
      </c>
      <c r="B41" s="62"/>
      <c r="C41" s="62"/>
      <c r="D41" s="62"/>
      <c r="E41" s="62"/>
      <c r="F41" s="62"/>
    </row>
    <row r="42" spans="1:6" ht="14.25" customHeight="1" x14ac:dyDescent="0.3">
      <c r="A42" s="10" t="s">
        <v>10</v>
      </c>
      <c r="B42" s="10" t="s">
        <v>11</v>
      </c>
      <c r="C42" s="10" t="s">
        <v>12</v>
      </c>
    </row>
    <row r="43" spans="1:6" ht="14.25" customHeight="1" x14ac:dyDescent="0.3">
      <c r="A43" s="27" t="s">
        <v>119</v>
      </c>
      <c r="B43" s="28">
        <v>20</v>
      </c>
      <c r="C43" s="42">
        <f>C29+1</f>
        <v>46362</v>
      </c>
    </row>
    <row r="44" spans="1:6" ht="14.25" customHeight="1" x14ac:dyDescent="0.3">
      <c r="A44" s="30" t="s">
        <v>17</v>
      </c>
      <c r="B44" s="31">
        <v>63</v>
      </c>
      <c r="C44" s="39">
        <f>IF(C43="","",C43+B43)</f>
        <v>46382</v>
      </c>
    </row>
    <row r="45" spans="1:6" ht="14.25" customHeight="1" x14ac:dyDescent="0.3">
      <c r="A45" s="27" t="s">
        <v>18</v>
      </c>
      <c r="B45" s="28">
        <v>1</v>
      </c>
      <c r="C45" s="38">
        <f>IF(C44="","",C44+B44)</f>
        <v>46445</v>
      </c>
    </row>
    <row r="46" spans="1:6" ht="14.25" customHeight="1" x14ac:dyDescent="0.3">
      <c r="A46" s="30" t="s">
        <v>19</v>
      </c>
      <c r="B46" s="31">
        <v>7</v>
      </c>
      <c r="C46" s="39">
        <f>IF(C45="","",C45+B45)</f>
        <v>46446</v>
      </c>
    </row>
    <row r="47" spans="1:6" ht="14.25" customHeight="1" x14ac:dyDescent="0.3">
      <c r="A47" s="27" t="s">
        <v>20</v>
      </c>
      <c r="B47" s="28">
        <v>3</v>
      </c>
      <c r="C47" s="38">
        <f>IF(C46="","",C46+B46)</f>
        <v>46453</v>
      </c>
    </row>
    <row r="48" spans="1:6" ht="14.25" customHeight="1" x14ac:dyDescent="0.3">
      <c r="A48" s="30" t="s">
        <v>21</v>
      </c>
      <c r="B48" s="31"/>
      <c r="C48" s="39">
        <f>IF(C47="","",C47+B47)</f>
        <v>46456</v>
      </c>
    </row>
    <row r="49" spans="1:6" ht="14.25" customHeight="1" x14ac:dyDescent="0.3">
      <c r="A49" s="34"/>
      <c r="B49" s="34"/>
      <c r="C49" s="34"/>
    </row>
    <row r="50" spans="1:6" ht="14.25" customHeight="1" x14ac:dyDescent="0.3">
      <c r="A50" s="35" t="s">
        <v>22</v>
      </c>
      <c r="B50" s="36" t="s">
        <v>23</v>
      </c>
      <c r="C50" s="34"/>
    </row>
    <row r="51" spans="1:6" ht="14.25" customHeight="1" x14ac:dyDescent="0.3">
      <c r="A51" s="17"/>
      <c r="B51" s="4"/>
      <c r="C51" s="34"/>
    </row>
    <row r="52" spans="1:6" ht="14.25" customHeight="1" x14ac:dyDescent="0.3">
      <c r="A52" s="17"/>
      <c r="B52" s="4"/>
      <c r="C52" s="34"/>
    </row>
    <row r="53" spans="1:6" ht="14.25" customHeight="1" x14ac:dyDescent="0.3">
      <c r="A53" s="37" t="s">
        <v>29</v>
      </c>
      <c r="B53" s="10">
        <f>SUM(B51:B52)</f>
        <v>0</v>
      </c>
      <c r="C53" s="34"/>
    </row>
    <row r="54" spans="1:6" ht="14.25" customHeight="1" x14ac:dyDescent="0.3">
      <c r="A54" s="34"/>
      <c r="B54" s="34"/>
      <c r="C54" s="34"/>
    </row>
    <row r="55" spans="1:6" ht="14.25" customHeight="1" x14ac:dyDescent="0.3">
      <c r="A55" s="61" t="s">
        <v>30</v>
      </c>
      <c r="B55" s="62"/>
      <c r="C55" s="62"/>
      <c r="D55" s="62"/>
      <c r="E55" s="62"/>
      <c r="F55" s="62"/>
    </row>
    <row r="56" spans="1:6" ht="39.75" customHeight="1" x14ac:dyDescent="0.3">
      <c r="A56" s="57"/>
      <c r="B56" s="58"/>
      <c r="C56" s="58"/>
      <c r="D56" s="58"/>
      <c r="E56" s="58"/>
      <c r="F56" s="58"/>
    </row>
    <row r="57" spans="1:6" ht="14.25" customHeight="1" x14ac:dyDescent="0.3">
      <c r="A57" s="59"/>
      <c r="B57" s="60"/>
      <c r="C57" s="60"/>
      <c r="D57" s="60"/>
      <c r="E57" s="60"/>
      <c r="F57" s="60"/>
    </row>
    <row r="58" spans="1:6" ht="14.25" customHeight="1" x14ac:dyDescent="0.3">
      <c r="A58" s="34"/>
      <c r="B58" s="34"/>
      <c r="C58" s="34"/>
    </row>
    <row r="59" spans="1:6" ht="19.5" customHeight="1" x14ac:dyDescent="0.3">
      <c r="A59" s="65" t="s">
        <v>33</v>
      </c>
      <c r="B59" s="62"/>
      <c r="C59" s="62"/>
      <c r="D59" s="62"/>
      <c r="E59" s="62"/>
      <c r="F59" s="62"/>
    </row>
    <row r="60" spans="1:6" ht="14.25" customHeight="1" x14ac:dyDescent="0.3">
      <c r="A60" s="10" t="s">
        <v>10</v>
      </c>
      <c r="B60" s="10" t="s">
        <v>11</v>
      </c>
      <c r="C60" s="10" t="s">
        <v>12</v>
      </c>
    </row>
    <row r="61" spans="1:6" ht="14.25" customHeight="1" x14ac:dyDescent="0.3">
      <c r="A61" s="27" t="s">
        <v>119</v>
      </c>
      <c r="B61" s="28">
        <v>20</v>
      </c>
      <c r="C61" s="42">
        <f>C47+1</f>
        <v>46454</v>
      </c>
    </row>
    <row r="62" spans="1:6" ht="14.25" customHeight="1" x14ac:dyDescent="0.3">
      <c r="A62" s="30" t="s">
        <v>17</v>
      </c>
      <c r="B62" s="31">
        <v>63</v>
      </c>
      <c r="C62" s="39">
        <f>IF(C61="","",C61+B61)</f>
        <v>46474</v>
      </c>
    </row>
    <row r="63" spans="1:6" ht="14.25" customHeight="1" x14ac:dyDescent="0.3">
      <c r="A63" s="27" t="s">
        <v>18</v>
      </c>
      <c r="B63" s="28">
        <v>1</v>
      </c>
      <c r="C63" s="38">
        <f>IF(C62="","",C62+B62)</f>
        <v>46537</v>
      </c>
    </row>
    <row r="64" spans="1:6" ht="14.25" customHeight="1" x14ac:dyDescent="0.3">
      <c r="A64" s="30" t="s">
        <v>19</v>
      </c>
      <c r="B64" s="31">
        <v>7</v>
      </c>
      <c r="C64" s="39">
        <f>IF(C63="","",C63+B63)</f>
        <v>46538</v>
      </c>
    </row>
    <row r="65" spans="1:6" ht="14.25" customHeight="1" x14ac:dyDescent="0.3">
      <c r="A65" s="27" t="s">
        <v>20</v>
      </c>
      <c r="B65" s="28">
        <v>3</v>
      </c>
      <c r="C65" s="38">
        <f>IF(C64="","",C64+B64)</f>
        <v>46545</v>
      </c>
    </row>
    <row r="66" spans="1:6" ht="14.25" customHeight="1" x14ac:dyDescent="0.3">
      <c r="A66" s="30" t="s">
        <v>21</v>
      </c>
      <c r="B66" s="31"/>
      <c r="C66" s="39">
        <f>IF(C65="","",C65+B65)</f>
        <v>46548</v>
      </c>
    </row>
    <row r="67" spans="1:6" ht="14.25" customHeight="1" x14ac:dyDescent="0.3">
      <c r="A67" s="34"/>
      <c r="B67" s="34"/>
      <c r="C67" s="34"/>
    </row>
    <row r="68" spans="1:6" ht="14.25" customHeight="1" x14ac:dyDescent="0.3">
      <c r="A68" s="35" t="s">
        <v>22</v>
      </c>
      <c r="B68" s="36" t="s">
        <v>23</v>
      </c>
      <c r="C68" s="34"/>
    </row>
    <row r="69" spans="1:6" ht="14.25" customHeight="1" x14ac:dyDescent="0.3">
      <c r="A69" s="17"/>
      <c r="B69" s="4"/>
      <c r="C69" s="34"/>
    </row>
    <row r="70" spans="1:6" ht="14.25" customHeight="1" x14ac:dyDescent="0.3">
      <c r="A70" s="17"/>
      <c r="B70" s="4"/>
      <c r="C70" s="34"/>
    </row>
    <row r="71" spans="1:6" ht="14.25" customHeight="1" x14ac:dyDescent="0.3">
      <c r="A71" s="37" t="s">
        <v>29</v>
      </c>
      <c r="B71" s="10">
        <f>SUM(B69:B70)</f>
        <v>0</v>
      </c>
      <c r="C71" s="34"/>
    </row>
    <row r="72" spans="1:6" ht="14.25" customHeight="1" x14ac:dyDescent="0.3">
      <c r="A72" s="34"/>
      <c r="B72" s="34"/>
      <c r="C72" s="34"/>
    </row>
    <row r="73" spans="1:6" ht="14.25" customHeight="1" x14ac:dyDescent="0.3">
      <c r="A73" s="61" t="s">
        <v>30</v>
      </c>
      <c r="B73" s="62"/>
      <c r="C73" s="62"/>
      <c r="D73" s="62"/>
      <c r="E73" s="62"/>
      <c r="F73" s="62"/>
    </row>
    <row r="74" spans="1:6" ht="39.75" customHeight="1" x14ac:dyDescent="0.3">
      <c r="A74" s="57"/>
      <c r="B74" s="58"/>
      <c r="C74" s="58"/>
      <c r="D74" s="58"/>
      <c r="E74" s="58"/>
      <c r="F74" s="58"/>
    </row>
    <row r="75" spans="1:6" ht="14.25" customHeight="1" x14ac:dyDescent="0.3">
      <c r="A75" s="59"/>
      <c r="B75" s="60"/>
      <c r="C75" s="60"/>
      <c r="D75" s="60"/>
      <c r="E75" s="60"/>
      <c r="F75" s="60"/>
    </row>
    <row r="76" spans="1:6" ht="14.25" customHeight="1" x14ac:dyDescent="0.3">
      <c r="A76" s="34"/>
      <c r="B76" s="34"/>
      <c r="C76" s="34"/>
    </row>
    <row r="77" spans="1:6" ht="19.5" customHeight="1" x14ac:dyDescent="0.3">
      <c r="A77" s="65" t="s">
        <v>34</v>
      </c>
      <c r="B77" s="62"/>
      <c r="C77" s="62"/>
      <c r="D77" s="62"/>
      <c r="E77" s="62"/>
      <c r="F77" s="62"/>
    </row>
    <row r="78" spans="1:6" ht="14.25" customHeight="1" x14ac:dyDescent="0.3">
      <c r="A78" s="10" t="s">
        <v>10</v>
      </c>
      <c r="B78" s="10" t="s">
        <v>11</v>
      </c>
      <c r="C78" s="10" t="s">
        <v>12</v>
      </c>
    </row>
    <row r="79" spans="1:6" ht="14.25" customHeight="1" x14ac:dyDescent="0.3">
      <c r="A79" s="27" t="s">
        <v>119</v>
      </c>
      <c r="B79" s="28">
        <v>20</v>
      </c>
      <c r="C79" s="42">
        <f>C65+1</f>
        <v>46546</v>
      </c>
    </row>
    <row r="80" spans="1:6" ht="14.25" customHeight="1" x14ac:dyDescent="0.3">
      <c r="A80" s="30" t="s">
        <v>17</v>
      </c>
      <c r="B80" s="31">
        <v>63</v>
      </c>
      <c r="C80" s="39">
        <f>IF(C79="","",C79+B79)</f>
        <v>46566</v>
      </c>
    </row>
    <row r="81" spans="1:6" ht="14.25" customHeight="1" x14ac:dyDescent="0.3">
      <c r="A81" s="27" t="s">
        <v>18</v>
      </c>
      <c r="B81" s="28">
        <v>1</v>
      </c>
      <c r="C81" s="38">
        <f>IF(C80="","",C80+B80)</f>
        <v>46629</v>
      </c>
    </row>
    <row r="82" spans="1:6" ht="14.25" customHeight="1" x14ac:dyDescent="0.3">
      <c r="A82" s="30" t="s">
        <v>19</v>
      </c>
      <c r="B82" s="31">
        <v>7</v>
      </c>
      <c r="C82" s="39">
        <f>IF(C81="","",C81+B81)</f>
        <v>46630</v>
      </c>
    </row>
    <row r="83" spans="1:6" ht="14.25" customHeight="1" x14ac:dyDescent="0.3">
      <c r="A83" s="27" t="s">
        <v>20</v>
      </c>
      <c r="B83" s="28">
        <v>3</v>
      </c>
      <c r="C83" s="38">
        <f>IF(C82="","",C82+B82)</f>
        <v>46637</v>
      </c>
    </row>
    <row r="84" spans="1:6" ht="14.25" customHeight="1" x14ac:dyDescent="0.3">
      <c r="A84" s="30" t="s">
        <v>21</v>
      </c>
      <c r="B84" s="31"/>
      <c r="C84" s="39">
        <f>IF(C83="","",C83+B83)</f>
        <v>46640</v>
      </c>
    </row>
    <row r="85" spans="1:6" ht="14.25" customHeight="1" x14ac:dyDescent="0.3">
      <c r="A85" s="34"/>
      <c r="B85" s="34"/>
      <c r="C85" s="34"/>
    </row>
    <row r="86" spans="1:6" ht="14.25" customHeight="1" x14ac:dyDescent="0.3">
      <c r="A86" s="35" t="s">
        <v>22</v>
      </c>
      <c r="B86" s="36" t="s">
        <v>23</v>
      </c>
      <c r="C86" s="34"/>
    </row>
    <row r="87" spans="1:6" ht="14.25" customHeight="1" x14ac:dyDescent="0.3">
      <c r="A87" s="17"/>
      <c r="B87" s="4"/>
      <c r="C87" s="34"/>
    </row>
    <row r="88" spans="1:6" ht="14.25" customHeight="1" x14ac:dyDescent="0.3">
      <c r="A88" s="17"/>
      <c r="B88" s="4"/>
      <c r="C88" s="34"/>
    </row>
    <row r="89" spans="1:6" ht="14.25" customHeight="1" x14ac:dyDescent="0.3">
      <c r="A89" s="37" t="s">
        <v>29</v>
      </c>
      <c r="B89" s="10">
        <f>SUM(B87:B88)</f>
        <v>0</v>
      </c>
      <c r="C89" s="34"/>
    </row>
    <row r="90" spans="1:6" ht="14.25" customHeight="1" x14ac:dyDescent="0.3">
      <c r="A90" s="34"/>
      <c r="B90" s="34"/>
      <c r="C90" s="34"/>
    </row>
    <row r="91" spans="1:6" ht="14.25" customHeight="1" x14ac:dyDescent="0.3">
      <c r="A91" s="61" t="s">
        <v>30</v>
      </c>
      <c r="B91" s="62"/>
      <c r="C91" s="62"/>
      <c r="D91" s="62"/>
      <c r="E91" s="62"/>
      <c r="F91" s="62"/>
    </row>
    <row r="92" spans="1:6" ht="39.75" customHeight="1" x14ac:dyDescent="0.3">
      <c r="A92" s="57"/>
      <c r="B92" s="58"/>
      <c r="C92" s="58"/>
      <c r="D92" s="58"/>
      <c r="E92" s="58"/>
      <c r="F92" s="58"/>
    </row>
    <row r="93" spans="1:6" ht="14.25" customHeight="1" x14ac:dyDescent="0.3">
      <c r="A93" s="59"/>
      <c r="B93" s="60"/>
      <c r="C93" s="60"/>
      <c r="D93" s="60"/>
      <c r="E93" s="60"/>
      <c r="F93" s="60"/>
    </row>
    <row r="94" spans="1:6" ht="14.25" customHeight="1" x14ac:dyDescent="0.3">
      <c r="A94" s="34"/>
      <c r="B94" s="34"/>
      <c r="C94" s="34"/>
    </row>
  </sheetData>
  <mergeCells count="17">
    <mergeCell ref="A92:F93"/>
    <mergeCell ref="A56:F57"/>
    <mergeCell ref="A91:F91"/>
    <mergeCell ref="A38:F39"/>
    <mergeCell ref="A74:F75"/>
    <mergeCell ref="A77:F77"/>
    <mergeCell ref="A59:F59"/>
    <mergeCell ref="A41:F41"/>
    <mergeCell ref="A73:F73"/>
    <mergeCell ref="H1:M1"/>
    <mergeCell ref="A19:F19"/>
    <mergeCell ref="A55:F55"/>
    <mergeCell ref="A1:F1"/>
    <mergeCell ref="A23:F23"/>
    <mergeCell ref="A37:F37"/>
    <mergeCell ref="A3:F3"/>
    <mergeCell ref="A20:F2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0916C"/>
  </sheetPr>
  <dimension ref="A1:N87"/>
  <sheetViews>
    <sheetView showGridLines="0" zoomScaleNormal="100" workbookViewId="0">
      <selection activeCell="B14" sqref="B14"/>
    </sheetView>
  </sheetViews>
  <sheetFormatPr baseColWidth="10" defaultColWidth="8.6640625" defaultRowHeight="14.4" x14ac:dyDescent="0.3"/>
  <cols>
    <col min="1" max="1" width="22" customWidth="1"/>
    <col min="2" max="2" width="8" customWidth="1"/>
    <col min="3" max="3" width="16" customWidth="1"/>
    <col min="4" max="4" width="2" customWidth="1"/>
    <col min="5" max="5" width="14" customWidth="1"/>
    <col min="6" max="6" width="16" customWidth="1"/>
    <col min="8" max="8" width="14" customWidth="1"/>
    <col min="9" max="9" width="8" customWidth="1"/>
    <col min="10" max="12" width="10" customWidth="1"/>
    <col min="13" max="13" width="13" customWidth="1"/>
    <col min="14" max="14" width="20" customWidth="1"/>
  </cols>
  <sheetData>
    <row r="1" spans="1:14" ht="30" customHeight="1" x14ac:dyDescent="0.3">
      <c r="A1" s="66" t="s">
        <v>121</v>
      </c>
      <c r="B1" s="64"/>
      <c r="C1" s="64"/>
      <c r="D1" s="64"/>
      <c r="E1" s="64"/>
      <c r="F1" s="64"/>
      <c r="H1" s="63" t="s">
        <v>1</v>
      </c>
      <c r="I1" s="64"/>
      <c r="J1" s="64"/>
      <c r="K1" s="64"/>
      <c r="L1" s="64"/>
      <c r="M1" s="64"/>
    </row>
    <row r="2" spans="1:14" ht="24" customHeight="1" x14ac:dyDescent="0.3">
      <c r="H2" s="7" t="s">
        <v>2</v>
      </c>
      <c r="I2" s="7" t="s">
        <v>3</v>
      </c>
      <c r="J2" s="7" t="s">
        <v>4</v>
      </c>
      <c r="K2" s="7" t="s">
        <v>5</v>
      </c>
      <c r="L2" s="7" t="s">
        <v>6</v>
      </c>
      <c r="M2" s="1" t="s">
        <v>7</v>
      </c>
      <c r="N2" s="7" t="s">
        <v>8</v>
      </c>
    </row>
    <row r="3" spans="1:14" ht="19.5" customHeight="1" x14ac:dyDescent="0.3">
      <c r="A3" s="65" t="s">
        <v>9</v>
      </c>
      <c r="B3" s="62"/>
      <c r="C3" s="62"/>
      <c r="D3" s="62"/>
      <c r="E3" s="62"/>
      <c r="F3" s="62"/>
      <c r="H3" s="8"/>
      <c r="I3" s="9"/>
      <c r="J3" s="9"/>
      <c r="K3" s="9"/>
      <c r="L3" s="9"/>
      <c r="M3" s="4"/>
      <c r="N3" s="9"/>
    </row>
    <row r="4" spans="1:14" ht="14.25" customHeight="1" x14ac:dyDescent="0.3">
      <c r="A4" s="10" t="s">
        <v>10</v>
      </c>
      <c r="B4" s="10" t="s">
        <v>11</v>
      </c>
      <c r="C4" s="10" t="s">
        <v>12</v>
      </c>
      <c r="H4" s="8"/>
      <c r="I4" s="9"/>
      <c r="J4" s="9"/>
      <c r="K4" s="9"/>
      <c r="L4" s="9"/>
      <c r="M4" s="4"/>
      <c r="N4" s="9"/>
    </row>
    <row r="5" spans="1:14" ht="14.25" customHeight="1" x14ac:dyDescent="0.3">
      <c r="A5" s="24" t="s">
        <v>119</v>
      </c>
      <c r="B5" s="25">
        <v>20</v>
      </c>
      <c r="C5" s="26">
        <v>46159</v>
      </c>
      <c r="H5" s="8"/>
      <c r="I5" s="9"/>
      <c r="J5" s="9"/>
      <c r="K5" s="9"/>
      <c r="L5" s="9"/>
      <c r="M5" s="4"/>
      <c r="N5" s="9"/>
    </row>
    <row r="6" spans="1:14" ht="14.25" customHeight="1" x14ac:dyDescent="0.3">
      <c r="A6" s="24" t="s">
        <v>17</v>
      </c>
      <c r="B6" s="25">
        <v>63</v>
      </c>
      <c r="C6" s="26">
        <f>IF(C5="","",C5+B5)</f>
        <v>46179</v>
      </c>
      <c r="H6" s="8"/>
      <c r="I6" s="9"/>
      <c r="J6" s="9"/>
      <c r="K6" s="9"/>
      <c r="L6" s="9"/>
      <c r="M6" s="4"/>
      <c r="N6" s="9"/>
    </row>
    <row r="7" spans="1:14" ht="14.25" customHeight="1" x14ac:dyDescent="0.3">
      <c r="A7" s="27" t="s">
        <v>18</v>
      </c>
      <c r="B7" s="28">
        <v>1</v>
      </c>
      <c r="C7" s="29">
        <f>IF(C6="","",C6+B6)</f>
        <v>46242</v>
      </c>
      <c r="H7" s="8"/>
      <c r="I7" s="9"/>
      <c r="J7" s="9"/>
      <c r="K7" s="9"/>
      <c r="L7" s="9"/>
      <c r="M7" s="4"/>
      <c r="N7" s="9"/>
    </row>
    <row r="8" spans="1:14" ht="14.25" customHeight="1" x14ac:dyDescent="0.3">
      <c r="A8" s="30" t="s">
        <v>19</v>
      </c>
      <c r="B8" s="31">
        <v>7</v>
      </c>
      <c r="C8" s="32">
        <f>IF(C7="","",C7+B7)</f>
        <v>46243</v>
      </c>
      <c r="H8" s="8"/>
      <c r="I8" s="9"/>
      <c r="J8" s="9"/>
      <c r="K8" s="9"/>
      <c r="L8" s="9"/>
      <c r="M8" s="4"/>
      <c r="N8" s="9"/>
    </row>
    <row r="9" spans="1:14" ht="14.25" customHeight="1" x14ac:dyDescent="0.3">
      <c r="A9" s="27" t="s">
        <v>20</v>
      </c>
      <c r="B9" s="28">
        <v>3</v>
      </c>
      <c r="C9" s="29">
        <f>IF(C8="","",C8+B8)</f>
        <v>46250</v>
      </c>
      <c r="H9" s="8"/>
      <c r="I9" s="9"/>
      <c r="J9" s="9"/>
      <c r="K9" s="9"/>
      <c r="L9" s="9"/>
      <c r="M9" s="4"/>
      <c r="N9" s="9"/>
    </row>
    <row r="10" spans="1:14" ht="14.25" customHeight="1" x14ac:dyDescent="0.3">
      <c r="A10" s="30" t="s">
        <v>21</v>
      </c>
      <c r="B10" s="31"/>
      <c r="C10" s="32">
        <f>IF(C9="","",C9+B9)</f>
        <v>46253</v>
      </c>
      <c r="H10" s="8"/>
      <c r="I10" s="9"/>
      <c r="J10" s="9"/>
      <c r="K10" s="9"/>
      <c r="L10" s="9"/>
      <c r="M10" s="4"/>
      <c r="N10" s="9"/>
    </row>
    <row r="11" spans="1:14" ht="14.25" customHeight="1" x14ac:dyDescent="0.3">
      <c r="A11" s="34"/>
      <c r="B11" s="34"/>
      <c r="C11" s="34"/>
      <c r="H11" s="8"/>
      <c r="I11" s="9"/>
      <c r="J11" s="9"/>
      <c r="K11" s="9"/>
      <c r="L11" s="9"/>
      <c r="M11" s="4"/>
      <c r="N11" s="9"/>
    </row>
    <row r="12" spans="1:14" ht="14.25" customHeight="1" x14ac:dyDescent="0.3">
      <c r="A12" s="35" t="s">
        <v>22</v>
      </c>
      <c r="B12" s="36" t="s">
        <v>23</v>
      </c>
      <c r="C12" s="34"/>
      <c r="H12" s="8"/>
      <c r="I12" s="9"/>
      <c r="J12" s="9"/>
      <c r="K12" s="9"/>
      <c r="L12" s="9"/>
      <c r="M12" s="4"/>
      <c r="N12" s="9"/>
    </row>
    <row r="13" spans="1:14" ht="14.25" customHeight="1" x14ac:dyDescent="0.3">
      <c r="A13" s="17" t="s">
        <v>122</v>
      </c>
      <c r="B13" s="4">
        <v>25</v>
      </c>
      <c r="C13" s="34"/>
      <c r="H13" s="8"/>
      <c r="I13" s="9"/>
      <c r="J13" s="9"/>
      <c r="K13" s="9"/>
      <c r="L13" s="9"/>
      <c r="M13" s="4"/>
      <c r="N13" s="9"/>
    </row>
    <row r="14" spans="1:14" ht="14.25" customHeight="1" x14ac:dyDescent="0.3">
      <c r="A14" s="37" t="s">
        <v>29</v>
      </c>
      <c r="B14" s="10">
        <f>SUM(B13:B13)</f>
        <v>25</v>
      </c>
      <c r="C14" s="34"/>
      <c r="H14" s="8"/>
      <c r="I14" s="9"/>
      <c r="J14" s="9"/>
      <c r="K14" s="9"/>
      <c r="L14" s="9"/>
      <c r="M14" s="4"/>
      <c r="N14" s="9"/>
    </row>
    <row r="15" spans="1:14" ht="14.25" customHeight="1" x14ac:dyDescent="0.3">
      <c r="A15" s="34"/>
      <c r="B15" s="34"/>
      <c r="C15" s="34"/>
      <c r="H15" s="8"/>
      <c r="I15" s="9"/>
      <c r="J15" s="9"/>
      <c r="K15" s="9"/>
      <c r="L15" s="9"/>
      <c r="M15" s="4"/>
      <c r="N15" s="9"/>
    </row>
    <row r="16" spans="1:14" ht="14.25" customHeight="1" x14ac:dyDescent="0.3">
      <c r="A16" s="61" t="s">
        <v>30</v>
      </c>
      <c r="B16" s="62"/>
      <c r="C16" s="62"/>
      <c r="D16" s="62"/>
      <c r="E16" s="62"/>
      <c r="F16" s="62"/>
      <c r="H16" s="8"/>
      <c r="I16" s="9"/>
      <c r="J16" s="9"/>
      <c r="K16" s="9"/>
      <c r="L16" s="9"/>
      <c r="M16" s="4"/>
      <c r="N16" s="9"/>
    </row>
    <row r="17" spans="1:14" ht="39.75" customHeight="1" x14ac:dyDescent="0.3">
      <c r="A17" s="57"/>
      <c r="B17" s="58"/>
      <c r="C17" s="58"/>
      <c r="D17" s="58"/>
      <c r="E17" s="58"/>
      <c r="F17" s="58"/>
      <c r="H17" s="8"/>
      <c r="I17" s="9"/>
      <c r="J17" s="9"/>
      <c r="K17" s="9"/>
      <c r="L17" s="9"/>
      <c r="M17" s="4"/>
      <c r="N17" s="9"/>
    </row>
    <row r="18" spans="1:14" ht="14.25" customHeight="1" x14ac:dyDescent="0.3">
      <c r="A18" s="59"/>
      <c r="B18" s="60"/>
      <c r="C18" s="60"/>
      <c r="D18" s="60"/>
      <c r="E18" s="60"/>
      <c r="F18" s="60"/>
      <c r="H18" s="8"/>
      <c r="I18" s="9"/>
      <c r="J18" s="9"/>
      <c r="K18" s="9"/>
      <c r="L18" s="9"/>
      <c r="M18" s="4"/>
      <c r="N18" s="9"/>
    </row>
    <row r="19" spans="1:14" ht="14.25" customHeight="1" x14ac:dyDescent="0.3">
      <c r="A19" s="34"/>
      <c r="B19" s="34"/>
      <c r="C19" s="34"/>
      <c r="H19" s="8"/>
      <c r="I19" s="9"/>
      <c r="J19" s="9"/>
      <c r="K19" s="9"/>
      <c r="L19" s="9"/>
      <c r="M19" s="4"/>
      <c r="N19" s="9"/>
    </row>
    <row r="20" spans="1:14" ht="19.5" customHeight="1" x14ac:dyDescent="0.3">
      <c r="A20" s="65" t="s">
        <v>31</v>
      </c>
      <c r="B20" s="62"/>
      <c r="C20" s="62"/>
      <c r="D20" s="62"/>
      <c r="E20" s="62"/>
      <c r="F20" s="62"/>
    </row>
    <row r="21" spans="1:14" ht="14.25" customHeight="1" x14ac:dyDescent="0.3">
      <c r="A21" s="10" t="s">
        <v>10</v>
      </c>
      <c r="B21" s="10" t="s">
        <v>11</v>
      </c>
      <c r="C21" s="10" t="s">
        <v>12</v>
      </c>
    </row>
    <row r="22" spans="1:14" ht="14.25" customHeight="1" x14ac:dyDescent="0.3">
      <c r="A22" s="27" t="s">
        <v>119</v>
      </c>
      <c r="B22" s="28">
        <v>20</v>
      </c>
      <c r="C22" s="42">
        <f>C9+1</f>
        <v>46251</v>
      </c>
    </row>
    <row r="23" spans="1:14" ht="14.25" customHeight="1" x14ac:dyDescent="0.3">
      <c r="A23" s="30" t="s">
        <v>17</v>
      </c>
      <c r="B23" s="31">
        <v>63</v>
      </c>
      <c r="C23" s="39">
        <f>IF(C22="","",C22+B22)</f>
        <v>46271</v>
      </c>
    </row>
    <row r="24" spans="1:14" ht="14.25" customHeight="1" x14ac:dyDescent="0.3">
      <c r="A24" s="27" t="s">
        <v>18</v>
      </c>
      <c r="B24" s="28">
        <v>1</v>
      </c>
      <c r="C24" s="38">
        <f>IF(C23="","",C23+B23)</f>
        <v>46334</v>
      </c>
    </row>
    <row r="25" spans="1:14" ht="14.25" customHeight="1" x14ac:dyDescent="0.3">
      <c r="A25" s="30" t="s">
        <v>19</v>
      </c>
      <c r="B25" s="31">
        <v>7</v>
      </c>
      <c r="C25" s="39">
        <f>IF(C24="","",C24+B24)</f>
        <v>46335</v>
      </c>
    </row>
    <row r="26" spans="1:14" ht="14.25" customHeight="1" x14ac:dyDescent="0.3">
      <c r="A26" s="27" t="s">
        <v>20</v>
      </c>
      <c r="B26" s="28">
        <v>3</v>
      </c>
      <c r="C26" s="38">
        <f>IF(C25="","",C25+B25)</f>
        <v>46342</v>
      </c>
    </row>
    <row r="27" spans="1:14" ht="14.25" customHeight="1" x14ac:dyDescent="0.3">
      <c r="A27" s="30" t="s">
        <v>21</v>
      </c>
      <c r="B27" s="31"/>
      <c r="C27" s="39">
        <f>IF(C26="","",C26+B26)</f>
        <v>46345</v>
      </c>
    </row>
    <row r="28" spans="1:14" ht="14.25" customHeight="1" x14ac:dyDescent="0.3">
      <c r="A28" s="34"/>
      <c r="B28" s="34"/>
      <c r="C28" s="34"/>
    </row>
    <row r="29" spans="1:14" ht="14.25" customHeight="1" x14ac:dyDescent="0.3">
      <c r="A29" s="35" t="s">
        <v>22</v>
      </c>
      <c r="B29" s="36" t="s">
        <v>23</v>
      </c>
      <c r="C29" s="34"/>
    </row>
    <row r="30" spans="1:14" ht="14.25" customHeight="1" x14ac:dyDescent="0.3">
      <c r="A30" s="17"/>
      <c r="B30" s="4"/>
      <c r="C30" s="34"/>
    </row>
    <row r="31" spans="1:14" ht="14.25" customHeight="1" x14ac:dyDescent="0.3">
      <c r="A31" s="37" t="s">
        <v>29</v>
      </c>
      <c r="B31" s="10">
        <f>SUM(B30:B30)</f>
        <v>0</v>
      </c>
      <c r="C31" s="34"/>
    </row>
    <row r="32" spans="1:14" ht="14.25" customHeight="1" x14ac:dyDescent="0.3">
      <c r="A32" s="34"/>
      <c r="B32" s="34"/>
      <c r="C32" s="34"/>
    </row>
    <row r="33" spans="1:6" ht="14.25" customHeight="1" x14ac:dyDescent="0.3">
      <c r="A33" s="61" t="s">
        <v>30</v>
      </c>
      <c r="B33" s="62"/>
      <c r="C33" s="62"/>
      <c r="D33" s="62"/>
      <c r="E33" s="62"/>
      <c r="F33" s="62"/>
    </row>
    <row r="34" spans="1:6" ht="39.75" customHeight="1" x14ac:dyDescent="0.3">
      <c r="A34" s="57"/>
      <c r="B34" s="58"/>
      <c r="C34" s="58"/>
      <c r="D34" s="58"/>
      <c r="E34" s="58"/>
      <c r="F34" s="58"/>
    </row>
    <row r="35" spans="1:6" ht="14.25" customHeight="1" x14ac:dyDescent="0.3">
      <c r="A35" s="59"/>
      <c r="B35" s="60"/>
      <c r="C35" s="60"/>
      <c r="D35" s="60"/>
      <c r="E35" s="60"/>
      <c r="F35" s="60"/>
    </row>
    <row r="36" spans="1:6" ht="14.25" customHeight="1" x14ac:dyDescent="0.3">
      <c r="A36" s="34"/>
      <c r="B36" s="34"/>
      <c r="C36" s="34"/>
    </row>
    <row r="37" spans="1:6" ht="19.5" customHeight="1" x14ac:dyDescent="0.3">
      <c r="A37" s="65" t="s">
        <v>32</v>
      </c>
      <c r="B37" s="62"/>
      <c r="C37" s="62"/>
      <c r="D37" s="62"/>
      <c r="E37" s="62"/>
      <c r="F37" s="62"/>
    </row>
    <row r="38" spans="1:6" ht="14.25" customHeight="1" x14ac:dyDescent="0.3">
      <c r="A38" s="10" t="s">
        <v>10</v>
      </c>
      <c r="B38" s="10" t="s">
        <v>11</v>
      </c>
      <c r="C38" s="10" t="s">
        <v>12</v>
      </c>
    </row>
    <row r="39" spans="1:6" ht="14.25" customHeight="1" x14ac:dyDescent="0.3">
      <c r="A39" s="27" t="s">
        <v>119</v>
      </c>
      <c r="B39" s="28">
        <v>20</v>
      </c>
      <c r="C39" s="42">
        <f>C26+1</f>
        <v>46343</v>
      </c>
    </row>
    <row r="40" spans="1:6" ht="14.25" customHeight="1" x14ac:dyDescent="0.3">
      <c r="A40" s="30" t="s">
        <v>17</v>
      </c>
      <c r="B40" s="31">
        <v>63</v>
      </c>
      <c r="C40" s="39">
        <f>IF(C39="","",C39+B39)</f>
        <v>46363</v>
      </c>
    </row>
    <row r="41" spans="1:6" ht="14.25" customHeight="1" x14ac:dyDescent="0.3">
      <c r="A41" s="27" t="s">
        <v>18</v>
      </c>
      <c r="B41" s="28">
        <v>1</v>
      </c>
      <c r="C41" s="38">
        <f>IF(C40="","",C40+B40)</f>
        <v>46426</v>
      </c>
    </row>
    <row r="42" spans="1:6" ht="14.25" customHeight="1" x14ac:dyDescent="0.3">
      <c r="A42" s="30" t="s">
        <v>19</v>
      </c>
      <c r="B42" s="31">
        <v>7</v>
      </c>
      <c r="C42" s="39">
        <f>IF(C41="","",C41+B41)</f>
        <v>46427</v>
      </c>
    </row>
    <row r="43" spans="1:6" ht="14.25" customHeight="1" x14ac:dyDescent="0.3">
      <c r="A43" s="27" t="s">
        <v>20</v>
      </c>
      <c r="B43" s="28">
        <v>3</v>
      </c>
      <c r="C43" s="38">
        <f>IF(C42="","",C42+B42)</f>
        <v>46434</v>
      </c>
    </row>
    <row r="44" spans="1:6" ht="14.25" customHeight="1" x14ac:dyDescent="0.3">
      <c r="A44" s="30" t="s">
        <v>21</v>
      </c>
      <c r="B44" s="31"/>
      <c r="C44" s="39">
        <f>IF(C43="","",C43+B43)</f>
        <v>46437</v>
      </c>
    </row>
    <row r="45" spans="1:6" ht="14.25" customHeight="1" x14ac:dyDescent="0.3">
      <c r="A45" s="34"/>
      <c r="B45" s="34"/>
      <c r="C45" s="34"/>
    </row>
    <row r="46" spans="1:6" ht="14.25" customHeight="1" x14ac:dyDescent="0.3">
      <c r="A46" s="35" t="s">
        <v>22</v>
      </c>
      <c r="B46" s="36" t="s">
        <v>23</v>
      </c>
      <c r="C46" s="34"/>
    </row>
    <row r="47" spans="1:6" ht="14.25" customHeight="1" x14ac:dyDescent="0.3">
      <c r="A47" s="17"/>
      <c r="B47" s="4"/>
      <c r="C47" s="34"/>
    </row>
    <row r="48" spans="1:6" ht="14.25" customHeight="1" x14ac:dyDescent="0.3">
      <c r="A48" s="37" t="s">
        <v>29</v>
      </c>
      <c r="B48" s="10">
        <f>SUM(B47:B47)</f>
        <v>0</v>
      </c>
      <c r="C48" s="34"/>
    </row>
    <row r="49" spans="1:6" ht="14.25" customHeight="1" x14ac:dyDescent="0.3">
      <c r="A49" s="34"/>
      <c r="B49" s="34"/>
      <c r="C49" s="34"/>
    </row>
    <row r="50" spans="1:6" ht="14.25" customHeight="1" x14ac:dyDescent="0.3">
      <c r="A50" s="61" t="s">
        <v>30</v>
      </c>
      <c r="B50" s="62"/>
      <c r="C50" s="62"/>
      <c r="D50" s="62"/>
      <c r="E50" s="62"/>
      <c r="F50" s="62"/>
    </row>
    <row r="51" spans="1:6" ht="39.75" customHeight="1" x14ac:dyDescent="0.3">
      <c r="A51" s="57"/>
      <c r="B51" s="58"/>
      <c r="C51" s="58"/>
      <c r="D51" s="58"/>
      <c r="E51" s="58"/>
      <c r="F51" s="58"/>
    </row>
    <row r="52" spans="1:6" ht="14.25" customHeight="1" x14ac:dyDescent="0.3">
      <c r="A52" s="59"/>
      <c r="B52" s="60"/>
      <c r="C52" s="60"/>
      <c r="D52" s="60"/>
      <c r="E52" s="60"/>
      <c r="F52" s="60"/>
    </row>
    <row r="53" spans="1:6" ht="14.25" customHeight="1" x14ac:dyDescent="0.3">
      <c r="A53" s="34"/>
      <c r="B53" s="34"/>
      <c r="C53" s="34"/>
    </row>
    <row r="54" spans="1:6" ht="19.5" customHeight="1" x14ac:dyDescent="0.3">
      <c r="A54" s="65" t="s">
        <v>33</v>
      </c>
      <c r="B54" s="62"/>
      <c r="C54" s="62"/>
      <c r="D54" s="62"/>
      <c r="E54" s="62"/>
      <c r="F54" s="62"/>
    </row>
    <row r="55" spans="1:6" ht="14.25" customHeight="1" x14ac:dyDescent="0.3">
      <c r="A55" s="10" t="s">
        <v>10</v>
      </c>
      <c r="B55" s="10" t="s">
        <v>11</v>
      </c>
      <c r="C55" s="10" t="s">
        <v>12</v>
      </c>
    </row>
    <row r="56" spans="1:6" ht="14.25" customHeight="1" x14ac:dyDescent="0.3">
      <c r="A56" s="27" t="s">
        <v>119</v>
      </c>
      <c r="B56" s="28">
        <v>20</v>
      </c>
      <c r="C56" s="42">
        <f>C43+1</f>
        <v>46435</v>
      </c>
    </row>
    <row r="57" spans="1:6" ht="14.25" customHeight="1" x14ac:dyDescent="0.3">
      <c r="A57" s="30" t="s">
        <v>17</v>
      </c>
      <c r="B57" s="31">
        <v>63</v>
      </c>
      <c r="C57" s="39">
        <f>IF(C56="","",C56+B56)</f>
        <v>46455</v>
      </c>
    </row>
    <row r="58" spans="1:6" ht="14.25" customHeight="1" x14ac:dyDescent="0.3">
      <c r="A58" s="27" t="s">
        <v>18</v>
      </c>
      <c r="B58" s="28">
        <v>1</v>
      </c>
      <c r="C58" s="38">
        <f>IF(C57="","",C57+B57)</f>
        <v>46518</v>
      </c>
    </row>
    <row r="59" spans="1:6" ht="14.25" customHeight="1" x14ac:dyDescent="0.3">
      <c r="A59" s="30" t="s">
        <v>19</v>
      </c>
      <c r="B59" s="31">
        <v>7</v>
      </c>
      <c r="C59" s="39">
        <f>IF(C58="","",C58+B58)</f>
        <v>46519</v>
      </c>
    </row>
    <row r="60" spans="1:6" ht="14.25" customHeight="1" x14ac:dyDescent="0.3">
      <c r="A60" s="27" t="s">
        <v>20</v>
      </c>
      <c r="B60" s="28">
        <v>3</v>
      </c>
      <c r="C60" s="38">
        <f>IF(C59="","",C59+B59)</f>
        <v>46526</v>
      </c>
    </row>
    <row r="61" spans="1:6" ht="14.25" customHeight="1" x14ac:dyDescent="0.3">
      <c r="A61" s="30" t="s">
        <v>21</v>
      </c>
      <c r="B61" s="31"/>
      <c r="C61" s="39">
        <f>IF(C60="","",C60+B60)</f>
        <v>46529</v>
      </c>
    </row>
    <row r="62" spans="1:6" ht="14.25" customHeight="1" x14ac:dyDescent="0.3">
      <c r="A62" s="34"/>
      <c r="B62" s="34"/>
      <c r="C62" s="34"/>
    </row>
    <row r="63" spans="1:6" ht="14.25" customHeight="1" x14ac:dyDescent="0.3">
      <c r="A63" s="35" t="s">
        <v>22</v>
      </c>
      <c r="B63" s="36" t="s">
        <v>23</v>
      </c>
      <c r="C63" s="34"/>
    </row>
    <row r="64" spans="1:6" ht="14.25" customHeight="1" x14ac:dyDescent="0.3">
      <c r="A64" s="17"/>
      <c r="B64" s="4"/>
      <c r="C64" s="34"/>
    </row>
    <row r="65" spans="1:6" ht="14.25" customHeight="1" x14ac:dyDescent="0.3">
      <c r="A65" s="37" t="s">
        <v>29</v>
      </c>
      <c r="B65" s="10">
        <f>SUM(B64:B64)</f>
        <v>0</v>
      </c>
      <c r="C65" s="34"/>
    </row>
    <row r="66" spans="1:6" ht="14.25" customHeight="1" x14ac:dyDescent="0.3">
      <c r="A66" s="34"/>
      <c r="B66" s="34"/>
      <c r="C66" s="34"/>
    </row>
    <row r="67" spans="1:6" ht="14.25" customHeight="1" x14ac:dyDescent="0.3">
      <c r="A67" s="61" t="s">
        <v>30</v>
      </c>
      <c r="B67" s="62"/>
      <c r="C67" s="62"/>
      <c r="D67" s="62"/>
      <c r="E67" s="62"/>
      <c r="F67" s="62"/>
    </row>
    <row r="68" spans="1:6" ht="39.75" customHeight="1" x14ac:dyDescent="0.3">
      <c r="A68" s="57"/>
      <c r="B68" s="58"/>
      <c r="C68" s="58"/>
      <c r="D68" s="58"/>
      <c r="E68" s="58"/>
      <c r="F68" s="58"/>
    </row>
    <row r="69" spans="1:6" ht="14.25" customHeight="1" x14ac:dyDescent="0.3">
      <c r="A69" s="59"/>
      <c r="B69" s="60"/>
      <c r="C69" s="60"/>
      <c r="D69" s="60"/>
      <c r="E69" s="60"/>
      <c r="F69" s="60"/>
    </row>
    <row r="70" spans="1:6" ht="14.25" customHeight="1" x14ac:dyDescent="0.3">
      <c r="A70" s="34"/>
      <c r="B70" s="34"/>
      <c r="C70" s="34"/>
    </row>
    <row r="71" spans="1:6" ht="19.5" customHeight="1" x14ac:dyDescent="0.3">
      <c r="A71" s="65" t="s">
        <v>34</v>
      </c>
      <c r="B71" s="62"/>
      <c r="C71" s="62"/>
      <c r="D71" s="62"/>
      <c r="E71" s="62"/>
      <c r="F71" s="62"/>
    </row>
    <row r="72" spans="1:6" ht="14.25" customHeight="1" x14ac:dyDescent="0.3">
      <c r="A72" s="10" t="s">
        <v>10</v>
      </c>
      <c r="B72" s="10" t="s">
        <v>11</v>
      </c>
      <c r="C72" s="10" t="s">
        <v>12</v>
      </c>
    </row>
    <row r="73" spans="1:6" ht="14.25" customHeight="1" x14ac:dyDescent="0.3">
      <c r="A73" s="27" t="s">
        <v>119</v>
      </c>
      <c r="B73" s="28">
        <v>20</v>
      </c>
      <c r="C73" s="42">
        <f>C60+1</f>
        <v>46527</v>
      </c>
    </row>
    <row r="74" spans="1:6" ht="14.25" customHeight="1" x14ac:dyDescent="0.3">
      <c r="A74" s="30" t="s">
        <v>17</v>
      </c>
      <c r="B74" s="31">
        <v>63</v>
      </c>
      <c r="C74" s="39">
        <f>IF(C73="","",C73+B73)</f>
        <v>46547</v>
      </c>
    </row>
    <row r="75" spans="1:6" ht="14.25" customHeight="1" x14ac:dyDescent="0.3">
      <c r="A75" s="27" t="s">
        <v>18</v>
      </c>
      <c r="B75" s="28">
        <v>1</v>
      </c>
      <c r="C75" s="38">
        <f>IF(C74="","",C74+B74)</f>
        <v>46610</v>
      </c>
    </row>
    <row r="76" spans="1:6" ht="14.25" customHeight="1" x14ac:dyDescent="0.3">
      <c r="A76" s="30" t="s">
        <v>19</v>
      </c>
      <c r="B76" s="31">
        <v>7</v>
      </c>
      <c r="C76" s="39">
        <f>IF(C75="","",C75+B75)</f>
        <v>46611</v>
      </c>
    </row>
    <row r="77" spans="1:6" ht="14.25" customHeight="1" x14ac:dyDescent="0.3">
      <c r="A77" s="27" t="s">
        <v>20</v>
      </c>
      <c r="B77" s="28">
        <v>3</v>
      </c>
      <c r="C77" s="38">
        <f>IF(C76="","",C76+B76)</f>
        <v>46618</v>
      </c>
    </row>
    <row r="78" spans="1:6" ht="14.25" customHeight="1" x14ac:dyDescent="0.3">
      <c r="A78" s="30" t="s">
        <v>21</v>
      </c>
      <c r="B78" s="31"/>
      <c r="C78" s="39">
        <f>IF(C77="","",C77+B77)</f>
        <v>46621</v>
      </c>
    </row>
    <row r="79" spans="1:6" ht="14.25" customHeight="1" x14ac:dyDescent="0.3">
      <c r="A79" s="34"/>
      <c r="B79" s="34"/>
      <c r="C79" s="34"/>
    </row>
    <row r="80" spans="1:6" ht="14.25" customHeight="1" x14ac:dyDescent="0.3">
      <c r="A80" s="35" t="s">
        <v>22</v>
      </c>
      <c r="B80" s="36" t="s">
        <v>23</v>
      </c>
      <c r="C80" s="34"/>
    </row>
    <row r="81" spans="1:6" ht="14.25" customHeight="1" x14ac:dyDescent="0.3">
      <c r="A81" s="17"/>
      <c r="B81" s="4"/>
      <c r="C81" s="34"/>
    </row>
    <row r="82" spans="1:6" ht="14.25" customHeight="1" x14ac:dyDescent="0.3">
      <c r="A82" s="37" t="s">
        <v>29</v>
      </c>
      <c r="B82" s="10">
        <f>SUM(B81:B81)</f>
        <v>0</v>
      </c>
      <c r="C82" s="34"/>
    </row>
    <row r="83" spans="1:6" ht="14.25" customHeight="1" x14ac:dyDescent="0.3">
      <c r="A83" s="34"/>
      <c r="B83" s="34"/>
      <c r="C83" s="34"/>
    </row>
    <row r="84" spans="1:6" ht="14.25" customHeight="1" x14ac:dyDescent="0.3">
      <c r="A84" s="61" t="s">
        <v>30</v>
      </c>
      <c r="B84" s="62"/>
      <c r="C84" s="62"/>
      <c r="D84" s="62"/>
      <c r="E84" s="62"/>
      <c r="F84" s="62"/>
    </row>
    <row r="85" spans="1:6" ht="39.75" customHeight="1" x14ac:dyDescent="0.3">
      <c r="A85" s="57"/>
      <c r="B85" s="58"/>
      <c r="C85" s="58"/>
      <c r="D85" s="58"/>
      <c r="E85" s="58"/>
      <c r="F85" s="58"/>
    </row>
    <row r="86" spans="1:6" ht="14.25" customHeight="1" x14ac:dyDescent="0.3">
      <c r="A86" s="59"/>
      <c r="B86" s="60"/>
      <c r="C86" s="60"/>
      <c r="D86" s="60"/>
      <c r="E86" s="60"/>
      <c r="F86" s="60"/>
    </row>
    <row r="87" spans="1:6" ht="14.25" customHeight="1" x14ac:dyDescent="0.3">
      <c r="A87" s="34"/>
      <c r="B87" s="34"/>
      <c r="C87" s="34"/>
    </row>
  </sheetData>
  <mergeCells count="17">
    <mergeCell ref="A84:F84"/>
    <mergeCell ref="A85:F86"/>
    <mergeCell ref="A68:F69"/>
    <mergeCell ref="A1:F1"/>
    <mergeCell ref="A37:F37"/>
    <mergeCell ref="A67:F67"/>
    <mergeCell ref="A17:F18"/>
    <mergeCell ref="A50:F50"/>
    <mergeCell ref="A34:F35"/>
    <mergeCell ref="A51:F52"/>
    <mergeCell ref="A3:F3"/>
    <mergeCell ref="A20:F20"/>
    <mergeCell ref="A33:F33"/>
    <mergeCell ref="A16:F16"/>
    <mergeCell ref="A54:F54"/>
    <mergeCell ref="H1:M1"/>
    <mergeCell ref="A71:F7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40916C"/>
  </sheetPr>
  <dimension ref="A1:N87"/>
  <sheetViews>
    <sheetView showGridLines="0" zoomScaleNormal="100" workbookViewId="0">
      <selection activeCell="B14" sqref="B14"/>
    </sheetView>
  </sheetViews>
  <sheetFormatPr baseColWidth="10" defaultColWidth="8.6640625" defaultRowHeight="14.4" x14ac:dyDescent="0.3"/>
  <cols>
    <col min="1" max="1" width="22" customWidth="1"/>
    <col min="2" max="2" width="8" customWidth="1"/>
    <col min="3" max="3" width="16" customWidth="1"/>
    <col min="4" max="4" width="2" customWidth="1"/>
    <col min="5" max="5" width="14" customWidth="1"/>
    <col min="6" max="6" width="16" customWidth="1"/>
    <col min="8" max="8" width="14" customWidth="1"/>
    <col min="9" max="9" width="8" customWidth="1"/>
    <col min="10" max="12" width="10" customWidth="1"/>
    <col min="13" max="13" width="13" customWidth="1"/>
    <col min="14" max="14" width="20" customWidth="1"/>
  </cols>
  <sheetData>
    <row r="1" spans="1:14" ht="30" customHeight="1" x14ac:dyDescent="0.3">
      <c r="A1" s="66" t="s">
        <v>123</v>
      </c>
      <c r="B1" s="64"/>
      <c r="C1" s="64"/>
      <c r="D1" s="64"/>
      <c r="E1" s="64"/>
      <c r="F1" s="64"/>
      <c r="H1" s="63" t="s">
        <v>1</v>
      </c>
      <c r="I1" s="64"/>
      <c r="J1" s="64"/>
      <c r="K1" s="64"/>
      <c r="L1" s="64"/>
      <c r="M1" s="64"/>
    </row>
    <row r="2" spans="1:14" ht="24" customHeight="1" x14ac:dyDescent="0.3">
      <c r="H2" s="7" t="s">
        <v>2</v>
      </c>
      <c r="I2" s="7" t="s">
        <v>3</v>
      </c>
      <c r="J2" s="7" t="s">
        <v>4</v>
      </c>
      <c r="K2" s="7" t="s">
        <v>5</v>
      </c>
      <c r="L2" s="7" t="s">
        <v>6</v>
      </c>
      <c r="M2" s="1" t="s">
        <v>7</v>
      </c>
      <c r="N2" s="7" t="s">
        <v>8</v>
      </c>
    </row>
    <row r="3" spans="1:14" ht="19.5" customHeight="1" x14ac:dyDescent="0.3">
      <c r="A3" s="65" t="s">
        <v>9</v>
      </c>
      <c r="B3" s="62"/>
      <c r="C3" s="62"/>
      <c r="D3" s="62"/>
      <c r="E3" s="62"/>
      <c r="F3" s="62"/>
      <c r="H3" s="8"/>
      <c r="I3" s="9"/>
      <c r="J3" s="9"/>
      <c r="K3" s="9"/>
      <c r="L3" s="9"/>
      <c r="M3" s="4"/>
      <c r="N3" s="9"/>
    </row>
    <row r="4" spans="1:14" ht="14.25" customHeight="1" x14ac:dyDescent="0.3">
      <c r="A4" s="10" t="s">
        <v>10</v>
      </c>
      <c r="B4" s="10" t="s">
        <v>11</v>
      </c>
      <c r="C4" s="10" t="s">
        <v>12</v>
      </c>
      <c r="H4" s="8"/>
      <c r="I4" s="9"/>
      <c r="J4" s="9"/>
      <c r="K4" s="9"/>
      <c r="L4" s="9"/>
      <c r="M4" s="4"/>
      <c r="N4" s="9"/>
    </row>
    <row r="5" spans="1:14" ht="14.25" customHeight="1" x14ac:dyDescent="0.3">
      <c r="A5" s="27" t="s">
        <v>119</v>
      </c>
      <c r="B5" s="28">
        <v>20</v>
      </c>
      <c r="C5" s="18">
        <v>46120</v>
      </c>
      <c r="H5" s="8"/>
      <c r="I5" s="9"/>
      <c r="J5" s="9"/>
      <c r="K5" s="9"/>
      <c r="L5" s="9"/>
      <c r="M5" s="4"/>
      <c r="N5" s="9"/>
    </row>
    <row r="6" spans="1:14" ht="14.25" customHeight="1" x14ac:dyDescent="0.3">
      <c r="A6" s="30" t="s">
        <v>17</v>
      </c>
      <c r="B6" s="31">
        <v>63</v>
      </c>
      <c r="C6" s="32">
        <f>IF(C5="","",C5+B5)</f>
        <v>46140</v>
      </c>
      <c r="H6" s="8"/>
      <c r="I6" s="9"/>
      <c r="J6" s="9"/>
      <c r="K6" s="9"/>
      <c r="L6" s="9"/>
      <c r="M6" s="4"/>
      <c r="N6" s="9"/>
    </row>
    <row r="7" spans="1:14" ht="14.25" customHeight="1" x14ac:dyDescent="0.3">
      <c r="A7" s="27" t="s">
        <v>18</v>
      </c>
      <c r="B7" s="28">
        <v>1</v>
      </c>
      <c r="C7" s="29">
        <f>IF(C6="","",C6+B6)</f>
        <v>46203</v>
      </c>
      <c r="H7" s="8"/>
      <c r="I7" s="9"/>
      <c r="J7" s="9"/>
      <c r="K7" s="9"/>
      <c r="L7" s="9"/>
      <c r="M7" s="4"/>
      <c r="N7" s="9"/>
    </row>
    <row r="8" spans="1:14" ht="14.25" customHeight="1" x14ac:dyDescent="0.3">
      <c r="A8" s="30" t="s">
        <v>19</v>
      </c>
      <c r="B8" s="31">
        <v>7</v>
      </c>
      <c r="C8" s="32">
        <f>IF(C7="","",C7+B7)</f>
        <v>46204</v>
      </c>
      <c r="H8" s="8"/>
      <c r="I8" s="9"/>
      <c r="J8" s="9"/>
      <c r="K8" s="9"/>
      <c r="L8" s="9"/>
      <c r="M8" s="4"/>
      <c r="N8" s="9"/>
    </row>
    <row r="9" spans="1:14" ht="14.25" customHeight="1" x14ac:dyDescent="0.3">
      <c r="A9" s="27" t="s">
        <v>20</v>
      </c>
      <c r="B9" s="28">
        <v>3</v>
      </c>
      <c r="C9" s="29">
        <f>IF(C8="","",C8+B8)</f>
        <v>46211</v>
      </c>
      <c r="H9" s="8"/>
      <c r="I9" s="9"/>
      <c r="J9" s="9"/>
      <c r="K9" s="9"/>
      <c r="L9" s="9"/>
      <c r="M9" s="4"/>
      <c r="N9" s="9"/>
    </row>
    <row r="10" spans="1:14" ht="14.25" customHeight="1" x14ac:dyDescent="0.3">
      <c r="A10" s="30" t="s">
        <v>21</v>
      </c>
      <c r="B10" s="31"/>
      <c r="C10" s="32">
        <f>IF(C9="","",C9+B9)</f>
        <v>46214</v>
      </c>
      <c r="H10" s="8"/>
      <c r="I10" s="9"/>
      <c r="J10" s="9"/>
      <c r="K10" s="9"/>
      <c r="L10" s="9"/>
      <c r="M10" s="4"/>
      <c r="N10" s="9"/>
    </row>
    <row r="11" spans="1:14" ht="14.25" customHeight="1" x14ac:dyDescent="0.3">
      <c r="A11" s="34"/>
      <c r="B11" s="34"/>
      <c r="C11" s="34"/>
      <c r="H11" s="8"/>
      <c r="I11" s="9"/>
      <c r="J11" s="9"/>
      <c r="K11" s="9"/>
      <c r="L11" s="9"/>
      <c r="M11" s="4"/>
      <c r="N11" s="9"/>
    </row>
    <row r="12" spans="1:14" ht="14.25" customHeight="1" x14ac:dyDescent="0.3">
      <c r="A12" s="35" t="s">
        <v>22</v>
      </c>
      <c r="B12" s="36" t="s">
        <v>23</v>
      </c>
      <c r="C12" s="34"/>
      <c r="H12" s="8"/>
      <c r="I12" s="9"/>
      <c r="J12" s="9"/>
      <c r="K12" s="9"/>
      <c r="L12" s="9"/>
      <c r="M12" s="4"/>
      <c r="N12" s="9"/>
    </row>
    <row r="13" spans="1:14" ht="14.25" customHeight="1" x14ac:dyDescent="0.3">
      <c r="A13" s="17" t="s">
        <v>70</v>
      </c>
      <c r="B13" s="4">
        <v>37</v>
      </c>
      <c r="C13" s="34"/>
      <c r="H13" s="8"/>
      <c r="I13" s="9"/>
      <c r="J13" s="9"/>
      <c r="K13" s="9"/>
      <c r="L13" s="9"/>
      <c r="M13" s="4"/>
      <c r="N13" s="9"/>
    </row>
    <row r="14" spans="1:14" ht="14.25" customHeight="1" x14ac:dyDescent="0.3">
      <c r="A14" s="37" t="s">
        <v>29</v>
      </c>
      <c r="B14" s="10">
        <f>SUM(B13:B13)</f>
        <v>37</v>
      </c>
      <c r="C14" s="34"/>
      <c r="H14" s="8"/>
      <c r="I14" s="9"/>
      <c r="J14" s="9"/>
      <c r="K14" s="9"/>
      <c r="L14" s="9"/>
      <c r="M14" s="4"/>
      <c r="N14" s="9"/>
    </row>
    <row r="15" spans="1:14" ht="14.25" customHeight="1" x14ac:dyDescent="0.3">
      <c r="A15" s="34"/>
      <c r="B15" s="34"/>
      <c r="C15" s="34"/>
      <c r="H15" s="8"/>
      <c r="I15" s="9"/>
      <c r="J15" s="9"/>
      <c r="K15" s="9"/>
      <c r="L15" s="9"/>
      <c r="M15" s="4"/>
      <c r="N15" s="9"/>
    </row>
    <row r="16" spans="1:14" ht="14.25" customHeight="1" x14ac:dyDescent="0.3">
      <c r="A16" s="61" t="s">
        <v>30</v>
      </c>
      <c r="B16" s="62"/>
      <c r="C16" s="62"/>
      <c r="D16" s="62"/>
      <c r="E16" s="62"/>
      <c r="F16" s="62"/>
      <c r="H16" s="8"/>
      <c r="I16" s="9"/>
      <c r="J16" s="9"/>
      <c r="K16" s="9"/>
      <c r="L16" s="9"/>
      <c r="M16" s="4"/>
      <c r="N16" s="9"/>
    </row>
    <row r="17" spans="1:14" ht="39.75" customHeight="1" x14ac:dyDescent="0.3">
      <c r="A17" s="57"/>
      <c r="B17" s="58"/>
      <c r="C17" s="58"/>
      <c r="D17" s="58"/>
      <c r="E17" s="58"/>
      <c r="F17" s="58"/>
      <c r="H17" s="8"/>
      <c r="I17" s="9"/>
      <c r="J17" s="9"/>
      <c r="K17" s="9"/>
      <c r="L17" s="9"/>
      <c r="M17" s="4"/>
      <c r="N17" s="9"/>
    </row>
    <row r="18" spans="1:14" ht="14.25" customHeight="1" x14ac:dyDescent="0.3">
      <c r="A18" s="59"/>
      <c r="B18" s="60"/>
      <c r="C18" s="60"/>
      <c r="D18" s="60"/>
      <c r="E18" s="60"/>
      <c r="F18" s="60"/>
      <c r="H18" s="8"/>
      <c r="I18" s="9"/>
      <c r="J18" s="9"/>
      <c r="K18" s="9"/>
      <c r="L18" s="9"/>
      <c r="M18" s="4"/>
      <c r="N18" s="9"/>
    </row>
    <row r="19" spans="1:14" ht="14.25" customHeight="1" x14ac:dyDescent="0.3">
      <c r="A19" s="34"/>
      <c r="B19" s="34"/>
      <c r="C19" s="34"/>
      <c r="H19" s="8"/>
      <c r="I19" s="9"/>
      <c r="J19" s="9"/>
      <c r="K19" s="9"/>
      <c r="L19" s="9"/>
      <c r="M19" s="4"/>
      <c r="N19" s="9"/>
    </row>
    <row r="20" spans="1:14" ht="19.5" customHeight="1" x14ac:dyDescent="0.3">
      <c r="A20" s="65" t="s">
        <v>31</v>
      </c>
      <c r="B20" s="62"/>
      <c r="C20" s="62"/>
      <c r="D20" s="62"/>
      <c r="E20" s="62"/>
      <c r="F20" s="62"/>
    </row>
    <row r="21" spans="1:14" ht="14.25" customHeight="1" x14ac:dyDescent="0.3">
      <c r="A21" s="10" t="s">
        <v>10</v>
      </c>
      <c r="B21" s="10" t="s">
        <v>11</v>
      </c>
      <c r="C21" s="10" t="s">
        <v>12</v>
      </c>
    </row>
    <row r="22" spans="1:14" ht="14.25" customHeight="1" x14ac:dyDescent="0.3">
      <c r="A22" s="27" t="s">
        <v>119</v>
      </c>
      <c r="B22" s="28">
        <v>20</v>
      </c>
      <c r="C22" s="42">
        <f>C9+1</f>
        <v>46212</v>
      </c>
    </row>
    <row r="23" spans="1:14" ht="14.25" customHeight="1" x14ac:dyDescent="0.3">
      <c r="A23" s="30" t="s">
        <v>17</v>
      </c>
      <c r="B23" s="31">
        <v>63</v>
      </c>
      <c r="C23" s="39">
        <f>IF(C22="","",C22+B22)</f>
        <v>46232</v>
      </c>
    </row>
    <row r="24" spans="1:14" ht="14.25" customHeight="1" x14ac:dyDescent="0.3">
      <c r="A24" s="27" t="s">
        <v>18</v>
      </c>
      <c r="B24" s="28">
        <v>1</v>
      </c>
      <c r="C24" s="38">
        <f>IF(C23="","",C23+B23)</f>
        <v>46295</v>
      </c>
    </row>
    <row r="25" spans="1:14" ht="14.25" customHeight="1" x14ac:dyDescent="0.3">
      <c r="A25" s="30" t="s">
        <v>19</v>
      </c>
      <c r="B25" s="31">
        <v>7</v>
      </c>
      <c r="C25" s="39">
        <f>IF(C24="","",C24+B24)</f>
        <v>46296</v>
      </c>
    </row>
    <row r="26" spans="1:14" ht="14.25" customHeight="1" x14ac:dyDescent="0.3">
      <c r="A26" s="27" t="s">
        <v>20</v>
      </c>
      <c r="B26" s="28">
        <v>3</v>
      </c>
      <c r="C26" s="38">
        <f>IF(C25="","",C25+B25)</f>
        <v>46303</v>
      </c>
    </row>
    <row r="27" spans="1:14" ht="14.25" customHeight="1" x14ac:dyDescent="0.3">
      <c r="A27" s="30" t="s">
        <v>21</v>
      </c>
      <c r="B27" s="31"/>
      <c r="C27" s="39">
        <f>IF(C26="","",C26+B26)</f>
        <v>46306</v>
      </c>
    </row>
    <row r="28" spans="1:14" ht="14.25" customHeight="1" x14ac:dyDescent="0.3">
      <c r="A28" s="34"/>
      <c r="B28" s="34"/>
      <c r="C28" s="34"/>
    </row>
    <row r="29" spans="1:14" ht="14.25" customHeight="1" x14ac:dyDescent="0.3">
      <c r="A29" s="35" t="s">
        <v>22</v>
      </c>
      <c r="B29" s="36" t="s">
        <v>23</v>
      </c>
      <c r="C29" s="34"/>
    </row>
    <row r="30" spans="1:14" ht="14.25" customHeight="1" x14ac:dyDescent="0.3">
      <c r="A30" s="17"/>
      <c r="B30" s="4"/>
      <c r="C30" s="34"/>
    </row>
    <row r="31" spans="1:14" ht="14.25" customHeight="1" x14ac:dyDescent="0.3">
      <c r="A31" s="37" t="s">
        <v>29</v>
      </c>
      <c r="B31" s="10">
        <f>SUM(B30:B30)</f>
        <v>0</v>
      </c>
      <c r="C31" s="34"/>
    </row>
    <row r="32" spans="1:14" ht="14.25" customHeight="1" x14ac:dyDescent="0.3">
      <c r="A32" s="34"/>
      <c r="B32" s="34"/>
      <c r="C32" s="34"/>
    </row>
    <row r="33" spans="1:6" ht="14.25" customHeight="1" x14ac:dyDescent="0.3">
      <c r="A33" s="61" t="s">
        <v>30</v>
      </c>
      <c r="B33" s="62"/>
      <c r="C33" s="62"/>
      <c r="D33" s="62"/>
      <c r="E33" s="62"/>
      <c r="F33" s="62"/>
    </row>
    <row r="34" spans="1:6" ht="39.75" customHeight="1" x14ac:dyDescent="0.3">
      <c r="A34" s="57"/>
      <c r="B34" s="58"/>
      <c r="C34" s="58"/>
      <c r="D34" s="58"/>
      <c r="E34" s="58"/>
      <c r="F34" s="58"/>
    </row>
    <row r="35" spans="1:6" ht="14.25" customHeight="1" x14ac:dyDescent="0.3">
      <c r="A35" s="59"/>
      <c r="B35" s="60"/>
      <c r="C35" s="60"/>
      <c r="D35" s="60"/>
      <c r="E35" s="60"/>
      <c r="F35" s="60"/>
    </row>
    <row r="36" spans="1:6" ht="14.25" customHeight="1" x14ac:dyDescent="0.3">
      <c r="A36" s="34"/>
      <c r="B36" s="34"/>
      <c r="C36" s="34"/>
    </row>
    <row r="37" spans="1:6" ht="19.5" customHeight="1" x14ac:dyDescent="0.3">
      <c r="A37" s="65" t="s">
        <v>32</v>
      </c>
      <c r="B37" s="62"/>
      <c r="C37" s="62"/>
      <c r="D37" s="62"/>
      <c r="E37" s="62"/>
      <c r="F37" s="62"/>
    </row>
    <row r="38" spans="1:6" ht="14.25" customHeight="1" x14ac:dyDescent="0.3">
      <c r="A38" s="10" t="s">
        <v>10</v>
      </c>
      <c r="B38" s="10" t="s">
        <v>11</v>
      </c>
      <c r="C38" s="10" t="s">
        <v>12</v>
      </c>
    </row>
    <row r="39" spans="1:6" ht="14.25" customHeight="1" x14ac:dyDescent="0.3">
      <c r="A39" s="27" t="s">
        <v>119</v>
      </c>
      <c r="B39" s="28">
        <v>20</v>
      </c>
      <c r="C39" s="42">
        <f>C26+1</f>
        <v>46304</v>
      </c>
    </row>
    <row r="40" spans="1:6" ht="14.25" customHeight="1" x14ac:dyDescent="0.3">
      <c r="A40" s="30" t="s">
        <v>17</v>
      </c>
      <c r="B40" s="31">
        <v>63</v>
      </c>
      <c r="C40" s="39">
        <f>IF(C39="","",C39+B39)</f>
        <v>46324</v>
      </c>
    </row>
    <row r="41" spans="1:6" ht="14.25" customHeight="1" x14ac:dyDescent="0.3">
      <c r="A41" s="27" t="s">
        <v>18</v>
      </c>
      <c r="B41" s="28">
        <v>1</v>
      </c>
      <c r="C41" s="38">
        <f>IF(C40="","",C40+B40)</f>
        <v>46387</v>
      </c>
    </row>
    <row r="42" spans="1:6" ht="14.25" customHeight="1" x14ac:dyDescent="0.3">
      <c r="A42" s="30" t="s">
        <v>19</v>
      </c>
      <c r="B42" s="31">
        <v>7</v>
      </c>
      <c r="C42" s="39">
        <f>IF(C41="","",C41+B41)</f>
        <v>46388</v>
      </c>
    </row>
    <row r="43" spans="1:6" ht="14.25" customHeight="1" x14ac:dyDescent="0.3">
      <c r="A43" s="27" t="s">
        <v>20</v>
      </c>
      <c r="B43" s="28">
        <v>3</v>
      </c>
      <c r="C43" s="38">
        <f>IF(C42="","",C42+B42)</f>
        <v>46395</v>
      </c>
    </row>
    <row r="44" spans="1:6" ht="14.25" customHeight="1" x14ac:dyDescent="0.3">
      <c r="A44" s="30" t="s">
        <v>21</v>
      </c>
      <c r="B44" s="31"/>
      <c r="C44" s="39">
        <f>IF(C43="","",C43+B43)</f>
        <v>46398</v>
      </c>
    </row>
    <row r="45" spans="1:6" ht="14.25" customHeight="1" x14ac:dyDescent="0.3">
      <c r="A45" s="34"/>
      <c r="B45" s="34"/>
      <c r="C45" s="34"/>
    </row>
    <row r="46" spans="1:6" ht="14.25" customHeight="1" x14ac:dyDescent="0.3">
      <c r="A46" s="35" t="s">
        <v>22</v>
      </c>
      <c r="B46" s="36" t="s">
        <v>23</v>
      </c>
      <c r="C46" s="34"/>
    </row>
    <row r="47" spans="1:6" ht="14.25" customHeight="1" x14ac:dyDescent="0.3">
      <c r="A47" s="17"/>
      <c r="B47" s="4"/>
      <c r="C47" s="34"/>
    </row>
    <row r="48" spans="1:6" ht="14.25" customHeight="1" x14ac:dyDescent="0.3">
      <c r="A48" s="37" t="s">
        <v>29</v>
      </c>
      <c r="B48" s="10">
        <f>SUM(B47:B47)</f>
        <v>0</v>
      </c>
      <c r="C48" s="34"/>
    </row>
    <row r="49" spans="1:6" ht="14.25" customHeight="1" x14ac:dyDescent="0.3">
      <c r="A49" s="34"/>
      <c r="B49" s="34"/>
      <c r="C49" s="34"/>
    </row>
    <row r="50" spans="1:6" ht="14.25" customHeight="1" x14ac:dyDescent="0.3">
      <c r="A50" s="61" t="s">
        <v>30</v>
      </c>
      <c r="B50" s="62"/>
      <c r="C50" s="62"/>
      <c r="D50" s="62"/>
      <c r="E50" s="62"/>
      <c r="F50" s="62"/>
    </row>
    <row r="51" spans="1:6" ht="39.75" customHeight="1" x14ac:dyDescent="0.3">
      <c r="A51" s="57"/>
      <c r="B51" s="58"/>
      <c r="C51" s="58"/>
      <c r="D51" s="58"/>
      <c r="E51" s="58"/>
      <c r="F51" s="58"/>
    </row>
    <row r="52" spans="1:6" ht="14.25" customHeight="1" x14ac:dyDescent="0.3">
      <c r="A52" s="59"/>
      <c r="B52" s="60"/>
      <c r="C52" s="60"/>
      <c r="D52" s="60"/>
      <c r="E52" s="60"/>
      <c r="F52" s="60"/>
    </row>
    <row r="53" spans="1:6" ht="14.25" customHeight="1" x14ac:dyDescent="0.3">
      <c r="A53" s="34"/>
      <c r="B53" s="34"/>
      <c r="C53" s="34"/>
    </row>
    <row r="54" spans="1:6" ht="19.5" customHeight="1" x14ac:dyDescent="0.3">
      <c r="A54" s="65" t="s">
        <v>33</v>
      </c>
      <c r="B54" s="62"/>
      <c r="C54" s="62"/>
      <c r="D54" s="62"/>
      <c r="E54" s="62"/>
      <c r="F54" s="62"/>
    </row>
    <row r="55" spans="1:6" ht="14.25" customHeight="1" x14ac:dyDescent="0.3">
      <c r="A55" s="10" t="s">
        <v>10</v>
      </c>
      <c r="B55" s="10" t="s">
        <v>11</v>
      </c>
      <c r="C55" s="10" t="s">
        <v>12</v>
      </c>
    </row>
    <row r="56" spans="1:6" ht="14.25" customHeight="1" x14ac:dyDescent="0.3">
      <c r="A56" s="27" t="s">
        <v>119</v>
      </c>
      <c r="B56" s="28">
        <v>20</v>
      </c>
      <c r="C56" s="42">
        <f>C43+1</f>
        <v>46396</v>
      </c>
    </row>
    <row r="57" spans="1:6" ht="14.25" customHeight="1" x14ac:dyDescent="0.3">
      <c r="A57" s="30" t="s">
        <v>17</v>
      </c>
      <c r="B57" s="31">
        <v>63</v>
      </c>
      <c r="C57" s="39">
        <f>IF(C56="","",C56+B56)</f>
        <v>46416</v>
      </c>
    </row>
    <row r="58" spans="1:6" ht="14.25" customHeight="1" x14ac:dyDescent="0.3">
      <c r="A58" s="27" t="s">
        <v>18</v>
      </c>
      <c r="B58" s="28">
        <v>1</v>
      </c>
      <c r="C58" s="38">
        <f>IF(C57="","",C57+B57)</f>
        <v>46479</v>
      </c>
    </row>
    <row r="59" spans="1:6" ht="14.25" customHeight="1" x14ac:dyDescent="0.3">
      <c r="A59" s="30" t="s">
        <v>19</v>
      </c>
      <c r="B59" s="31">
        <v>7</v>
      </c>
      <c r="C59" s="39">
        <f>IF(C58="","",C58+B58)</f>
        <v>46480</v>
      </c>
    </row>
    <row r="60" spans="1:6" ht="14.25" customHeight="1" x14ac:dyDescent="0.3">
      <c r="A60" s="27" t="s">
        <v>20</v>
      </c>
      <c r="B60" s="28">
        <v>3</v>
      </c>
      <c r="C60" s="38">
        <f>IF(C59="","",C59+B59)</f>
        <v>46487</v>
      </c>
    </row>
    <row r="61" spans="1:6" ht="14.25" customHeight="1" x14ac:dyDescent="0.3">
      <c r="A61" s="30" t="s">
        <v>21</v>
      </c>
      <c r="B61" s="31"/>
      <c r="C61" s="39">
        <f>IF(C60="","",C60+B60)</f>
        <v>46490</v>
      </c>
    </row>
    <row r="62" spans="1:6" ht="14.25" customHeight="1" x14ac:dyDescent="0.3">
      <c r="A62" s="34"/>
      <c r="B62" s="34"/>
      <c r="C62" s="34"/>
    </row>
    <row r="63" spans="1:6" ht="14.25" customHeight="1" x14ac:dyDescent="0.3">
      <c r="A63" s="35" t="s">
        <v>22</v>
      </c>
      <c r="B63" s="36" t="s">
        <v>23</v>
      </c>
      <c r="C63" s="34"/>
    </row>
    <row r="64" spans="1:6" ht="14.25" customHeight="1" x14ac:dyDescent="0.3">
      <c r="A64" s="17"/>
      <c r="B64" s="4"/>
      <c r="C64" s="34"/>
    </row>
    <row r="65" spans="1:6" ht="14.25" customHeight="1" x14ac:dyDescent="0.3">
      <c r="A65" s="37" t="s">
        <v>29</v>
      </c>
      <c r="B65" s="10">
        <f>SUM(B64:B64)</f>
        <v>0</v>
      </c>
      <c r="C65" s="34"/>
    </row>
    <row r="66" spans="1:6" ht="14.25" customHeight="1" x14ac:dyDescent="0.3">
      <c r="A66" s="34"/>
      <c r="B66" s="34"/>
      <c r="C66" s="34"/>
    </row>
    <row r="67" spans="1:6" ht="14.25" customHeight="1" x14ac:dyDescent="0.3">
      <c r="A67" s="61" t="s">
        <v>30</v>
      </c>
      <c r="B67" s="62"/>
      <c r="C67" s="62"/>
      <c r="D67" s="62"/>
      <c r="E67" s="62"/>
      <c r="F67" s="62"/>
    </row>
    <row r="68" spans="1:6" ht="39.75" customHeight="1" x14ac:dyDescent="0.3">
      <c r="A68" s="57"/>
      <c r="B68" s="58"/>
      <c r="C68" s="58"/>
      <c r="D68" s="58"/>
      <c r="E68" s="58"/>
      <c r="F68" s="58"/>
    </row>
    <row r="69" spans="1:6" ht="14.25" customHeight="1" x14ac:dyDescent="0.3">
      <c r="A69" s="59"/>
      <c r="B69" s="60"/>
      <c r="C69" s="60"/>
      <c r="D69" s="60"/>
      <c r="E69" s="60"/>
      <c r="F69" s="60"/>
    </row>
    <row r="70" spans="1:6" ht="14.25" customHeight="1" x14ac:dyDescent="0.3">
      <c r="A70" s="34"/>
      <c r="B70" s="34"/>
      <c r="C70" s="34"/>
    </row>
    <row r="71" spans="1:6" ht="19.5" customHeight="1" x14ac:dyDescent="0.3">
      <c r="A71" s="65" t="s">
        <v>34</v>
      </c>
      <c r="B71" s="62"/>
      <c r="C71" s="62"/>
      <c r="D71" s="62"/>
      <c r="E71" s="62"/>
      <c r="F71" s="62"/>
    </row>
    <row r="72" spans="1:6" ht="14.25" customHeight="1" x14ac:dyDescent="0.3">
      <c r="A72" s="10" t="s">
        <v>10</v>
      </c>
      <c r="B72" s="10" t="s">
        <v>11</v>
      </c>
      <c r="C72" s="10" t="s">
        <v>12</v>
      </c>
    </row>
    <row r="73" spans="1:6" ht="14.25" customHeight="1" x14ac:dyDescent="0.3">
      <c r="A73" s="27" t="s">
        <v>119</v>
      </c>
      <c r="B73" s="28">
        <v>20</v>
      </c>
      <c r="C73" s="42">
        <f>C60+1</f>
        <v>46488</v>
      </c>
    </row>
    <row r="74" spans="1:6" ht="14.25" customHeight="1" x14ac:dyDescent="0.3">
      <c r="A74" s="30" t="s">
        <v>17</v>
      </c>
      <c r="B74" s="31">
        <v>63</v>
      </c>
      <c r="C74" s="39">
        <f>IF(C73="","",C73+B73)</f>
        <v>46508</v>
      </c>
    </row>
    <row r="75" spans="1:6" ht="14.25" customHeight="1" x14ac:dyDescent="0.3">
      <c r="A75" s="27" t="s">
        <v>18</v>
      </c>
      <c r="B75" s="28">
        <v>1</v>
      </c>
      <c r="C75" s="38">
        <f>IF(C74="","",C74+B74)</f>
        <v>46571</v>
      </c>
    </row>
    <row r="76" spans="1:6" ht="14.25" customHeight="1" x14ac:dyDescent="0.3">
      <c r="A76" s="30" t="s">
        <v>19</v>
      </c>
      <c r="B76" s="31">
        <v>7</v>
      </c>
      <c r="C76" s="39">
        <f>IF(C75="","",C75+B75)</f>
        <v>46572</v>
      </c>
    </row>
    <row r="77" spans="1:6" ht="14.25" customHeight="1" x14ac:dyDescent="0.3">
      <c r="A77" s="27" t="s">
        <v>20</v>
      </c>
      <c r="B77" s="28">
        <v>3</v>
      </c>
      <c r="C77" s="38">
        <f>IF(C76="","",C76+B76)</f>
        <v>46579</v>
      </c>
    </row>
    <row r="78" spans="1:6" ht="14.25" customHeight="1" x14ac:dyDescent="0.3">
      <c r="A78" s="30" t="s">
        <v>21</v>
      </c>
      <c r="B78" s="31"/>
      <c r="C78" s="39">
        <f>IF(C77="","",C77+B77)</f>
        <v>46582</v>
      </c>
    </row>
    <row r="79" spans="1:6" ht="14.25" customHeight="1" x14ac:dyDescent="0.3">
      <c r="A79" s="34"/>
      <c r="B79" s="34"/>
      <c r="C79" s="34"/>
    </row>
    <row r="80" spans="1:6" ht="14.25" customHeight="1" x14ac:dyDescent="0.3">
      <c r="A80" s="35" t="s">
        <v>22</v>
      </c>
      <c r="B80" s="36" t="s">
        <v>23</v>
      </c>
      <c r="C80" s="34"/>
    </row>
    <row r="81" spans="1:6" ht="14.25" customHeight="1" x14ac:dyDescent="0.3">
      <c r="A81" s="17"/>
      <c r="B81" s="4"/>
      <c r="C81" s="34"/>
    </row>
    <row r="82" spans="1:6" ht="14.25" customHeight="1" x14ac:dyDescent="0.3">
      <c r="A82" s="37" t="s">
        <v>29</v>
      </c>
      <c r="B82" s="10">
        <f>SUM(B81:B81)</f>
        <v>0</v>
      </c>
      <c r="C82" s="34"/>
    </row>
    <row r="83" spans="1:6" ht="14.25" customHeight="1" x14ac:dyDescent="0.3">
      <c r="A83" s="34"/>
      <c r="B83" s="34"/>
      <c r="C83" s="34"/>
    </row>
    <row r="84" spans="1:6" ht="14.25" customHeight="1" x14ac:dyDescent="0.3">
      <c r="A84" s="61" t="s">
        <v>30</v>
      </c>
      <c r="B84" s="62"/>
      <c r="C84" s="62"/>
      <c r="D84" s="62"/>
      <c r="E84" s="62"/>
      <c r="F84" s="62"/>
    </row>
    <row r="85" spans="1:6" ht="39.75" customHeight="1" x14ac:dyDescent="0.3">
      <c r="A85" s="57"/>
      <c r="B85" s="58"/>
      <c r="C85" s="58"/>
      <c r="D85" s="58"/>
      <c r="E85" s="58"/>
      <c r="F85" s="58"/>
    </row>
    <row r="86" spans="1:6" ht="14.25" customHeight="1" x14ac:dyDescent="0.3">
      <c r="A86" s="59"/>
      <c r="B86" s="60"/>
      <c r="C86" s="60"/>
      <c r="D86" s="60"/>
      <c r="E86" s="60"/>
      <c r="F86" s="60"/>
    </row>
    <row r="87" spans="1:6" ht="14.25" customHeight="1" x14ac:dyDescent="0.3">
      <c r="A87" s="34"/>
      <c r="B87" s="34"/>
      <c r="C87" s="34"/>
    </row>
  </sheetData>
  <mergeCells count="17">
    <mergeCell ref="A84:F84"/>
    <mergeCell ref="A85:F86"/>
    <mergeCell ref="A68:F69"/>
    <mergeCell ref="A1:F1"/>
    <mergeCell ref="A37:F37"/>
    <mergeCell ref="A67:F67"/>
    <mergeCell ref="A17:F18"/>
    <mergeCell ref="A50:F50"/>
    <mergeCell ref="A34:F35"/>
    <mergeCell ref="A51:F52"/>
    <mergeCell ref="A3:F3"/>
    <mergeCell ref="A20:F20"/>
    <mergeCell ref="A33:F33"/>
    <mergeCell ref="A16:F16"/>
    <mergeCell ref="A54:F54"/>
    <mergeCell ref="H1:M1"/>
    <mergeCell ref="A71:F7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40916C"/>
  </sheetPr>
  <dimension ref="A1:N87"/>
  <sheetViews>
    <sheetView showGridLines="0" zoomScaleNormal="100" workbookViewId="0">
      <selection activeCell="B14" sqref="B14"/>
    </sheetView>
  </sheetViews>
  <sheetFormatPr baseColWidth="10" defaultColWidth="8.6640625" defaultRowHeight="14.4" x14ac:dyDescent="0.3"/>
  <cols>
    <col min="1" max="1" width="22" customWidth="1"/>
    <col min="2" max="2" width="8" customWidth="1"/>
    <col min="3" max="3" width="16" customWidth="1"/>
    <col min="4" max="4" width="2" customWidth="1"/>
    <col min="5" max="5" width="14" customWidth="1"/>
    <col min="6" max="6" width="16" customWidth="1"/>
    <col min="8" max="8" width="14" customWidth="1"/>
    <col min="9" max="9" width="8" customWidth="1"/>
    <col min="10" max="12" width="10" customWidth="1"/>
    <col min="13" max="13" width="13" customWidth="1"/>
    <col min="14" max="14" width="20" customWidth="1"/>
  </cols>
  <sheetData>
    <row r="1" spans="1:14" ht="30" customHeight="1" x14ac:dyDescent="0.3">
      <c r="A1" s="66" t="s">
        <v>124</v>
      </c>
      <c r="B1" s="64"/>
      <c r="C1" s="64"/>
      <c r="D1" s="64"/>
      <c r="E1" s="64"/>
      <c r="F1" s="64"/>
      <c r="H1" s="63" t="s">
        <v>1</v>
      </c>
      <c r="I1" s="64"/>
      <c r="J1" s="64"/>
      <c r="K1" s="64"/>
      <c r="L1" s="64"/>
      <c r="M1" s="64"/>
    </row>
    <row r="2" spans="1:14" ht="24" customHeight="1" x14ac:dyDescent="0.3">
      <c r="H2" s="7" t="s">
        <v>2</v>
      </c>
      <c r="I2" s="7" t="s">
        <v>3</v>
      </c>
      <c r="J2" s="7" t="s">
        <v>4</v>
      </c>
      <c r="K2" s="7" t="s">
        <v>5</v>
      </c>
      <c r="L2" s="7" t="s">
        <v>6</v>
      </c>
      <c r="M2" s="1" t="s">
        <v>7</v>
      </c>
      <c r="N2" s="7" t="s">
        <v>8</v>
      </c>
    </row>
    <row r="3" spans="1:14" ht="19.5" customHeight="1" x14ac:dyDescent="0.3">
      <c r="A3" s="65" t="s">
        <v>9</v>
      </c>
      <c r="B3" s="62"/>
      <c r="C3" s="62"/>
      <c r="D3" s="62"/>
      <c r="E3" s="62"/>
      <c r="F3" s="62"/>
      <c r="H3" s="8"/>
      <c r="I3" s="9"/>
      <c r="J3" s="9"/>
      <c r="K3" s="9"/>
      <c r="L3" s="9"/>
      <c r="M3" s="4"/>
      <c r="N3" s="9"/>
    </row>
    <row r="4" spans="1:14" ht="14.25" customHeight="1" x14ac:dyDescent="0.3">
      <c r="A4" s="10" t="s">
        <v>10</v>
      </c>
      <c r="B4" s="10" t="s">
        <v>11</v>
      </c>
      <c r="C4" s="10" t="s">
        <v>12</v>
      </c>
      <c r="H4" s="8"/>
      <c r="I4" s="9"/>
      <c r="J4" s="9"/>
      <c r="K4" s="9"/>
      <c r="L4" s="9"/>
      <c r="M4" s="4"/>
      <c r="N4" s="9"/>
    </row>
    <row r="5" spans="1:14" ht="14.25" customHeight="1" x14ac:dyDescent="0.3">
      <c r="A5" s="27" t="s">
        <v>119</v>
      </c>
      <c r="B5" s="28">
        <v>20</v>
      </c>
      <c r="C5" s="18">
        <v>46182</v>
      </c>
      <c r="H5" s="8"/>
      <c r="I5" s="9"/>
      <c r="J5" s="9"/>
      <c r="K5" s="9"/>
      <c r="L5" s="9"/>
      <c r="M5" s="4"/>
      <c r="N5" s="9"/>
    </row>
    <row r="6" spans="1:14" ht="14.25" customHeight="1" x14ac:dyDescent="0.3">
      <c r="A6" s="30" t="s">
        <v>17</v>
      </c>
      <c r="B6" s="31">
        <v>63</v>
      </c>
      <c r="C6" s="32">
        <f>IF(C5="","",C5+B5)</f>
        <v>46202</v>
      </c>
      <c r="H6" s="8"/>
      <c r="I6" s="9"/>
      <c r="J6" s="9"/>
      <c r="K6" s="9"/>
      <c r="L6" s="9"/>
      <c r="M6" s="4"/>
      <c r="N6" s="9"/>
    </row>
    <row r="7" spans="1:14" ht="14.25" customHeight="1" x14ac:dyDescent="0.3">
      <c r="A7" s="27" t="s">
        <v>18</v>
      </c>
      <c r="B7" s="28">
        <v>1</v>
      </c>
      <c r="C7" s="29">
        <f>IF(C6="","",C6+B6)</f>
        <v>46265</v>
      </c>
      <c r="H7" s="8"/>
      <c r="I7" s="9"/>
      <c r="J7" s="9"/>
      <c r="K7" s="9"/>
      <c r="L7" s="9"/>
      <c r="M7" s="4"/>
      <c r="N7" s="9"/>
    </row>
    <row r="8" spans="1:14" ht="14.25" customHeight="1" x14ac:dyDescent="0.3">
      <c r="A8" s="30" t="s">
        <v>19</v>
      </c>
      <c r="B8" s="31">
        <v>7</v>
      </c>
      <c r="C8" s="32">
        <f>IF(C7="","",C7+B7)</f>
        <v>46266</v>
      </c>
      <c r="H8" s="8"/>
      <c r="I8" s="9"/>
      <c r="J8" s="9"/>
      <c r="K8" s="9"/>
      <c r="L8" s="9"/>
      <c r="M8" s="4"/>
      <c r="N8" s="9"/>
    </row>
    <row r="9" spans="1:14" ht="14.25" customHeight="1" x14ac:dyDescent="0.3">
      <c r="A9" s="27" t="s">
        <v>20</v>
      </c>
      <c r="B9" s="28">
        <v>3</v>
      </c>
      <c r="C9" s="29">
        <f>IF(C8="","",C8+B8)</f>
        <v>46273</v>
      </c>
      <c r="H9" s="8"/>
      <c r="I9" s="9"/>
      <c r="J9" s="9"/>
      <c r="K9" s="9"/>
      <c r="L9" s="9"/>
      <c r="M9" s="4"/>
      <c r="N9" s="9"/>
    </row>
    <row r="10" spans="1:14" ht="14.25" customHeight="1" x14ac:dyDescent="0.3">
      <c r="A10" s="30" t="s">
        <v>21</v>
      </c>
      <c r="B10" s="31"/>
      <c r="C10" s="32">
        <f>IF(C9="","",C9+B9)</f>
        <v>46276</v>
      </c>
      <c r="H10" s="8"/>
      <c r="I10" s="9"/>
      <c r="J10" s="9"/>
      <c r="K10" s="9"/>
      <c r="L10" s="9"/>
      <c r="M10" s="4"/>
      <c r="N10" s="9"/>
    </row>
    <row r="11" spans="1:14" ht="14.25" customHeight="1" x14ac:dyDescent="0.3">
      <c r="A11" s="34"/>
      <c r="B11" s="34"/>
      <c r="C11" s="34"/>
      <c r="H11" s="8"/>
      <c r="I11" s="9"/>
      <c r="J11" s="9"/>
      <c r="K11" s="9"/>
      <c r="L11" s="9"/>
      <c r="M11" s="4"/>
      <c r="N11" s="9"/>
    </row>
    <row r="12" spans="1:14" ht="14.25" customHeight="1" x14ac:dyDescent="0.3">
      <c r="A12" s="35" t="s">
        <v>22</v>
      </c>
      <c r="B12" s="36" t="s">
        <v>23</v>
      </c>
      <c r="C12" s="34"/>
      <c r="H12" s="8"/>
      <c r="I12" s="9"/>
      <c r="J12" s="9"/>
      <c r="K12" s="9"/>
      <c r="L12" s="9"/>
      <c r="M12" s="4"/>
      <c r="N12" s="9"/>
    </row>
    <row r="13" spans="1:14" ht="14.25" customHeight="1" x14ac:dyDescent="0.3">
      <c r="A13" s="17" t="s">
        <v>111</v>
      </c>
      <c r="B13" s="4">
        <v>14</v>
      </c>
      <c r="C13" s="34"/>
      <c r="H13" s="8"/>
      <c r="I13" s="9"/>
      <c r="J13" s="9"/>
      <c r="K13" s="9"/>
      <c r="L13" s="9"/>
      <c r="M13" s="4"/>
      <c r="N13" s="9"/>
    </row>
    <row r="14" spans="1:14" ht="14.25" customHeight="1" x14ac:dyDescent="0.3">
      <c r="A14" s="37" t="s">
        <v>29</v>
      </c>
      <c r="B14" s="10">
        <f>SUM(B13:B13)</f>
        <v>14</v>
      </c>
      <c r="C14" s="34"/>
      <c r="H14" s="8"/>
      <c r="I14" s="9"/>
      <c r="J14" s="9"/>
      <c r="K14" s="9"/>
      <c r="L14" s="9"/>
      <c r="M14" s="4"/>
      <c r="N14" s="9"/>
    </row>
    <row r="15" spans="1:14" ht="14.25" customHeight="1" x14ac:dyDescent="0.3">
      <c r="A15" s="34"/>
      <c r="B15" s="34"/>
      <c r="C15" s="34"/>
      <c r="H15" s="8"/>
      <c r="I15" s="9"/>
      <c r="J15" s="9"/>
      <c r="K15" s="9"/>
      <c r="L15" s="9"/>
      <c r="M15" s="4"/>
      <c r="N15" s="9"/>
    </row>
    <row r="16" spans="1:14" ht="14.25" customHeight="1" x14ac:dyDescent="0.3">
      <c r="A16" s="61" t="s">
        <v>30</v>
      </c>
      <c r="B16" s="62"/>
      <c r="C16" s="62"/>
      <c r="D16" s="62"/>
      <c r="E16" s="62"/>
      <c r="F16" s="62"/>
      <c r="H16" s="8"/>
      <c r="I16" s="9"/>
      <c r="J16" s="9"/>
      <c r="K16" s="9"/>
      <c r="L16" s="9"/>
      <c r="M16" s="4"/>
      <c r="N16" s="9"/>
    </row>
    <row r="17" spans="1:14" ht="39.75" customHeight="1" x14ac:dyDescent="0.3">
      <c r="A17" s="57"/>
      <c r="B17" s="58"/>
      <c r="C17" s="58"/>
      <c r="D17" s="58"/>
      <c r="E17" s="58"/>
      <c r="F17" s="58"/>
      <c r="H17" s="8"/>
      <c r="I17" s="9"/>
      <c r="J17" s="9"/>
      <c r="K17" s="9"/>
      <c r="L17" s="9"/>
      <c r="M17" s="4"/>
      <c r="N17" s="9"/>
    </row>
    <row r="18" spans="1:14" ht="14.25" customHeight="1" x14ac:dyDescent="0.3">
      <c r="A18" s="59"/>
      <c r="B18" s="60"/>
      <c r="C18" s="60"/>
      <c r="D18" s="60"/>
      <c r="E18" s="60"/>
      <c r="F18" s="60"/>
      <c r="H18" s="8"/>
      <c r="I18" s="9"/>
      <c r="J18" s="9"/>
      <c r="K18" s="9"/>
      <c r="L18" s="9"/>
      <c r="M18" s="4"/>
      <c r="N18" s="9"/>
    </row>
    <row r="19" spans="1:14" ht="14.25" customHeight="1" x14ac:dyDescent="0.3">
      <c r="A19" s="34"/>
      <c r="B19" s="34"/>
      <c r="C19" s="34"/>
      <c r="H19" s="8"/>
      <c r="I19" s="9"/>
      <c r="J19" s="9"/>
      <c r="K19" s="9"/>
      <c r="L19" s="9"/>
      <c r="M19" s="4"/>
      <c r="N19" s="9"/>
    </row>
    <row r="20" spans="1:14" ht="19.5" customHeight="1" x14ac:dyDescent="0.3">
      <c r="A20" s="65" t="s">
        <v>31</v>
      </c>
      <c r="B20" s="62"/>
      <c r="C20" s="62"/>
      <c r="D20" s="62"/>
      <c r="E20" s="62"/>
      <c r="F20" s="62"/>
    </row>
    <row r="21" spans="1:14" ht="14.25" customHeight="1" x14ac:dyDescent="0.3">
      <c r="A21" s="10" t="s">
        <v>10</v>
      </c>
      <c r="B21" s="10" t="s">
        <v>11</v>
      </c>
      <c r="C21" s="10" t="s">
        <v>12</v>
      </c>
    </row>
    <row r="22" spans="1:14" ht="14.25" customHeight="1" x14ac:dyDescent="0.3">
      <c r="A22" s="27" t="s">
        <v>119</v>
      </c>
      <c r="B22" s="28">
        <v>20</v>
      </c>
      <c r="C22" s="42">
        <f>C9+1</f>
        <v>46274</v>
      </c>
    </row>
    <row r="23" spans="1:14" ht="14.25" customHeight="1" x14ac:dyDescent="0.3">
      <c r="A23" s="30" t="s">
        <v>17</v>
      </c>
      <c r="B23" s="31">
        <v>63</v>
      </c>
      <c r="C23" s="32">
        <f>IF(C22="","",C22+B22)</f>
        <v>46294</v>
      </c>
    </row>
    <row r="24" spans="1:14" ht="14.25" customHeight="1" x14ac:dyDescent="0.3">
      <c r="A24" s="27" t="s">
        <v>18</v>
      </c>
      <c r="B24" s="28">
        <v>1</v>
      </c>
      <c r="C24" s="29">
        <f>IF(C23="","",C23+B23)</f>
        <v>46357</v>
      </c>
    </row>
    <row r="25" spans="1:14" ht="14.25" customHeight="1" x14ac:dyDescent="0.3">
      <c r="A25" s="30" t="s">
        <v>19</v>
      </c>
      <c r="B25" s="31">
        <v>7</v>
      </c>
      <c r="C25" s="32">
        <f>IF(C24="","",C24+B24)</f>
        <v>46358</v>
      </c>
    </row>
    <row r="26" spans="1:14" ht="14.25" customHeight="1" x14ac:dyDescent="0.3">
      <c r="A26" s="27" t="s">
        <v>20</v>
      </c>
      <c r="B26" s="28">
        <v>3</v>
      </c>
      <c r="C26" s="29">
        <f>IF(C25="","",C25+B25)</f>
        <v>46365</v>
      </c>
    </row>
    <row r="27" spans="1:14" ht="14.25" customHeight="1" x14ac:dyDescent="0.3">
      <c r="A27" s="30" t="s">
        <v>21</v>
      </c>
      <c r="B27" s="31"/>
      <c r="C27" s="32">
        <f>IF(C26="","",C26+B26)</f>
        <v>46368</v>
      </c>
    </row>
    <row r="28" spans="1:14" ht="14.25" customHeight="1" x14ac:dyDescent="0.3">
      <c r="A28" s="34"/>
      <c r="B28" s="34"/>
      <c r="C28" s="34"/>
    </row>
    <row r="29" spans="1:14" ht="14.25" customHeight="1" x14ac:dyDescent="0.3">
      <c r="A29" s="35" t="s">
        <v>22</v>
      </c>
      <c r="B29" s="36" t="s">
        <v>23</v>
      </c>
      <c r="C29" s="34"/>
    </row>
    <row r="30" spans="1:14" ht="14.25" customHeight="1" x14ac:dyDescent="0.3">
      <c r="A30" s="17"/>
      <c r="B30" s="4"/>
      <c r="C30" s="34"/>
    </row>
    <row r="31" spans="1:14" ht="14.25" customHeight="1" x14ac:dyDescent="0.3">
      <c r="A31" s="37" t="s">
        <v>29</v>
      </c>
      <c r="B31" s="10">
        <f>SUM(B30:B30)</f>
        <v>0</v>
      </c>
      <c r="C31" s="34"/>
    </row>
    <row r="32" spans="1:14" ht="14.25" customHeight="1" x14ac:dyDescent="0.3">
      <c r="A32" s="34"/>
      <c r="B32" s="34"/>
      <c r="C32" s="34"/>
    </row>
    <row r="33" spans="1:6" ht="14.25" customHeight="1" x14ac:dyDescent="0.3">
      <c r="A33" s="61" t="s">
        <v>30</v>
      </c>
      <c r="B33" s="62"/>
      <c r="C33" s="62"/>
      <c r="D33" s="62"/>
      <c r="E33" s="62"/>
      <c r="F33" s="62"/>
    </row>
    <row r="34" spans="1:6" ht="39.75" customHeight="1" x14ac:dyDescent="0.3">
      <c r="A34" s="57"/>
      <c r="B34" s="58"/>
      <c r="C34" s="58"/>
      <c r="D34" s="58"/>
      <c r="E34" s="58"/>
      <c r="F34" s="58"/>
    </row>
    <row r="35" spans="1:6" ht="14.25" customHeight="1" x14ac:dyDescent="0.3">
      <c r="A35" s="59"/>
      <c r="B35" s="60"/>
      <c r="C35" s="60"/>
      <c r="D35" s="60"/>
      <c r="E35" s="60"/>
      <c r="F35" s="60"/>
    </row>
    <row r="36" spans="1:6" ht="14.25" customHeight="1" x14ac:dyDescent="0.3">
      <c r="A36" s="34"/>
      <c r="B36" s="34"/>
      <c r="C36" s="34"/>
    </row>
    <row r="37" spans="1:6" ht="19.5" customHeight="1" x14ac:dyDescent="0.3">
      <c r="A37" s="65" t="s">
        <v>32</v>
      </c>
      <c r="B37" s="62"/>
      <c r="C37" s="62"/>
      <c r="D37" s="62"/>
      <c r="E37" s="62"/>
      <c r="F37" s="62"/>
    </row>
    <row r="38" spans="1:6" ht="14.25" customHeight="1" x14ac:dyDescent="0.3">
      <c r="A38" s="10" t="s">
        <v>10</v>
      </c>
      <c r="B38" s="10" t="s">
        <v>11</v>
      </c>
      <c r="C38" s="10" t="s">
        <v>12</v>
      </c>
    </row>
    <row r="39" spans="1:6" ht="14.25" customHeight="1" x14ac:dyDescent="0.3">
      <c r="A39" s="27" t="s">
        <v>119</v>
      </c>
      <c r="B39" s="28">
        <v>20</v>
      </c>
      <c r="C39" s="42">
        <f>C26+1</f>
        <v>46366</v>
      </c>
    </row>
    <row r="40" spans="1:6" ht="14.25" customHeight="1" x14ac:dyDescent="0.3">
      <c r="A40" s="30" t="s">
        <v>17</v>
      </c>
      <c r="B40" s="31">
        <v>63</v>
      </c>
      <c r="C40" s="32">
        <f>IF(C39="","",C39+B39)</f>
        <v>46386</v>
      </c>
    </row>
    <row r="41" spans="1:6" ht="14.25" customHeight="1" x14ac:dyDescent="0.3">
      <c r="A41" s="27" t="s">
        <v>18</v>
      </c>
      <c r="B41" s="28">
        <v>1</v>
      </c>
      <c r="C41" s="29">
        <f>IF(C40="","",C40+B40)</f>
        <v>46449</v>
      </c>
    </row>
    <row r="42" spans="1:6" ht="14.25" customHeight="1" x14ac:dyDescent="0.3">
      <c r="A42" s="30" t="s">
        <v>19</v>
      </c>
      <c r="B42" s="31">
        <v>7</v>
      </c>
      <c r="C42" s="32">
        <f>IF(C41="","",C41+B41)</f>
        <v>46450</v>
      </c>
    </row>
    <row r="43" spans="1:6" ht="14.25" customHeight="1" x14ac:dyDescent="0.3">
      <c r="A43" s="27" t="s">
        <v>20</v>
      </c>
      <c r="B43" s="28">
        <v>3</v>
      </c>
      <c r="C43" s="29">
        <f>IF(C42="","",C42+B42)</f>
        <v>46457</v>
      </c>
    </row>
    <row r="44" spans="1:6" ht="14.25" customHeight="1" x14ac:dyDescent="0.3">
      <c r="A44" s="30" t="s">
        <v>21</v>
      </c>
      <c r="B44" s="31"/>
      <c r="C44" s="32">
        <f>IF(C43="","",C43+B43)</f>
        <v>46460</v>
      </c>
    </row>
    <row r="45" spans="1:6" ht="14.25" customHeight="1" x14ac:dyDescent="0.3">
      <c r="A45" s="34"/>
      <c r="B45" s="34"/>
      <c r="C45" s="34"/>
    </row>
    <row r="46" spans="1:6" ht="14.25" customHeight="1" x14ac:dyDescent="0.3">
      <c r="A46" s="35" t="s">
        <v>22</v>
      </c>
      <c r="B46" s="36" t="s">
        <v>23</v>
      </c>
      <c r="C46" s="34"/>
    </row>
    <row r="47" spans="1:6" ht="14.25" customHeight="1" x14ac:dyDescent="0.3">
      <c r="A47" s="17"/>
      <c r="B47" s="4"/>
      <c r="C47" s="34"/>
    </row>
    <row r="48" spans="1:6" ht="14.25" customHeight="1" x14ac:dyDescent="0.3">
      <c r="A48" s="37" t="s">
        <v>29</v>
      </c>
      <c r="B48" s="10">
        <f>SUM(B47:B47)</f>
        <v>0</v>
      </c>
      <c r="C48" s="34"/>
    </row>
    <row r="49" spans="1:6" ht="14.25" customHeight="1" x14ac:dyDescent="0.3">
      <c r="A49" s="34"/>
      <c r="B49" s="34"/>
      <c r="C49" s="34"/>
    </row>
    <row r="50" spans="1:6" ht="14.25" customHeight="1" x14ac:dyDescent="0.3">
      <c r="A50" s="61" t="s">
        <v>30</v>
      </c>
      <c r="B50" s="62"/>
      <c r="C50" s="62"/>
      <c r="D50" s="62"/>
      <c r="E50" s="62"/>
      <c r="F50" s="62"/>
    </row>
    <row r="51" spans="1:6" ht="39.75" customHeight="1" x14ac:dyDescent="0.3">
      <c r="A51" s="57"/>
      <c r="B51" s="58"/>
      <c r="C51" s="58"/>
      <c r="D51" s="58"/>
      <c r="E51" s="58"/>
      <c r="F51" s="58"/>
    </row>
    <row r="52" spans="1:6" ht="14.25" customHeight="1" x14ac:dyDescent="0.3">
      <c r="A52" s="59"/>
      <c r="B52" s="60"/>
      <c r="C52" s="60"/>
      <c r="D52" s="60"/>
      <c r="E52" s="60"/>
      <c r="F52" s="60"/>
    </row>
    <row r="53" spans="1:6" ht="14.25" customHeight="1" x14ac:dyDescent="0.3">
      <c r="A53" s="34"/>
      <c r="B53" s="34"/>
      <c r="C53" s="34"/>
    </row>
    <row r="54" spans="1:6" ht="19.5" customHeight="1" x14ac:dyDescent="0.3">
      <c r="A54" s="65" t="s">
        <v>33</v>
      </c>
      <c r="B54" s="62"/>
      <c r="C54" s="62"/>
      <c r="D54" s="62"/>
      <c r="E54" s="62"/>
      <c r="F54" s="62"/>
    </row>
    <row r="55" spans="1:6" ht="14.25" customHeight="1" x14ac:dyDescent="0.3">
      <c r="A55" s="10" t="s">
        <v>10</v>
      </c>
      <c r="B55" s="10" t="s">
        <v>11</v>
      </c>
      <c r="C55" s="10" t="s">
        <v>12</v>
      </c>
    </row>
    <row r="56" spans="1:6" ht="14.25" customHeight="1" x14ac:dyDescent="0.3">
      <c r="A56" s="27" t="s">
        <v>119</v>
      </c>
      <c r="B56" s="28">
        <v>20</v>
      </c>
      <c r="C56" s="42">
        <f>C43+1</f>
        <v>46458</v>
      </c>
    </row>
    <row r="57" spans="1:6" ht="14.25" customHeight="1" x14ac:dyDescent="0.3">
      <c r="A57" s="30" t="s">
        <v>17</v>
      </c>
      <c r="B57" s="31">
        <v>63</v>
      </c>
      <c r="C57" s="32">
        <f>IF(C56="","",C56+B56)</f>
        <v>46478</v>
      </c>
    </row>
    <row r="58" spans="1:6" ht="14.25" customHeight="1" x14ac:dyDescent="0.3">
      <c r="A58" s="27" t="s">
        <v>18</v>
      </c>
      <c r="B58" s="28">
        <v>1</v>
      </c>
      <c r="C58" s="29">
        <f>IF(C57="","",C57+B57)</f>
        <v>46541</v>
      </c>
    </row>
    <row r="59" spans="1:6" ht="14.25" customHeight="1" x14ac:dyDescent="0.3">
      <c r="A59" s="30" t="s">
        <v>19</v>
      </c>
      <c r="B59" s="31">
        <v>7</v>
      </c>
      <c r="C59" s="32">
        <f>IF(C58="","",C58+B58)</f>
        <v>46542</v>
      </c>
    </row>
    <row r="60" spans="1:6" ht="14.25" customHeight="1" x14ac:dyDescent="0.3">
      <c r="A60" s="27" t="s">
        <v>20</v>
      </c>
      <c r="B60" s="28">
        <v>3</v>
      </c>
      <c r="C60" s="29">
        <f>IF(C59="","",C59+B59)</f>
        <v>46549</v>
      </c>
    </row>
    <row r="61" spans="1:6" ht="14.25" customHeight="1" x14ac:dyDescent="0.3">
      <c r="A61" s="30" t="s">
        <v>21</v>
      </c>
      <c r="B61" s="31"/>
      <c r="C61" s="32">
        <f>IF(C60="","",C60+B60)</f>
        <v>46552</v>
      </c>
    </row>
    <row r="62" spans="1:6" ht="14.25" customHeight="1" x14ac:dyDescent="0.3">
      <c r="A62" s="34"/>
      <c r="B62" s="34"/>
      <c r="C62" s="34"/>
    </row>
    <row r="63" spans="1:6" ht="14.25" customHeight="1" x14ac:dyDescent="0.3">
      <c r="A63" s="35" t="s">
        <v>22</v>
      </c>
      <c r="B63" s="36" t="s">
        <v>23</v>
      </c>
      <c r="C63" s="34"/>
    </row>
    <row r="64" spans="1:6" ht="14.25" customHeight="1" x14ac:dyDescent="0.3">
      <c r="A64" s="17"/>
      <c r="B64" s="4"/>
      <c r="C64" s="34"/>
    </row>
    <row r="65" spans="1:6" ht="14.25" customHeight="1" x14ac:dyDescent="0.3">
      <c r="A65" s="37" t="s">
        <v>29</v>
      </c>
      <c r="B65" s="10">
        <f>SUM(B64:B64)</f>
        <v>0</v>
      </c>
      <c r="C65" s="34"/>
    </row>
    <row r="66" spans="1:6" ht="14.25" customHeight="1" x14ac:dyDescent="0.3">
      <c r="A66" s="34"/>
      <c r="B66" s="34"/>
      <c r="C66" s="34"/>
    </row>
    <row r="67" spans="1:6" ht="14.25" customHeight="1" x14ac:dyDescent="0.3">
      <c r="A67" s="61" t="s">
        <v>30</v>
      </c>
      <c r="B67" s="62"/>
      <c r="C67" s="62"/>
      <c r="D67" s="62"/>
      <c r="E67" s="62"/>
      <c r="F67" s="62"/>
    </row>
    <row r="68" spans="1:6" ht="39.75" customHeight="1" x14ac:dyDescent="0.3">
      <c r="A68" s="57"/>
      <c r="B68" s="58"/>
      <c r="C68" s="58"/>
      <c r="D68" s="58"/>
      <c r="E68" s="58"/>
      <c r="F68" s="58"/>
    </row>
    <row r="69" spans="1:6" ht="14.25" customHeight="1" x14ac:dyDescent="0.3">
      <c r="A69" s="59"/>
      <c r="B69" s="60"/>
      <c r="C69" s="60"/>
      <c r="D69" s="60"/>
      <c r="E69" s="60"/>
      <c r="F69" s="60"/>
    </row>
    <row r="70" spans="1:6" ht="14.25" customHeight="1" x14ac:dyDescent="0.3">
      <c r="A70" s="34"/>
      <c r="B70" s="34"/>
      <c r="C70" s="34"/>
    </row>
    <row r="71" spans="1:6" ht="19.5" customHeight="1" x14ac:dyDescent="0.3">
      <c r="A71" s="65" t="s">
        <v>34</v>
      </c>
      <c r="B71" s="62"/>
      <c r="C71" s="62"/>
      <c r="D71" s="62"/>
      <c r="E71" s="62"/>
      <c r="F71" s="62"/>
    </row>
    <row r="72" spans="1:6" ht="14.25" customHeight="1" x14ac:dyDescent="0.3">
      <c r="A72" s="10" t="s">
        <v>10</v>
      </c>
      <c r="B72" s="10" t="s">
        <v>11</v>
      </c>
      <c r="C72" s="10" t="s">
        <v>12</v>
      </c>
    </row>
    <row r="73" spans="1:6" ht="14.25" customHeight="1" x14ac:dyDescent="0.3">
      <c r="A73" s="27" t="s">
        <v>119</v>
      </c>
      <c r="B73" s="28">
        <v>20</v>
      </c>
      <c r="C73" s="42">
        <f>C60+1</f>
        <v>46550</v>
      </c>
    </row>
    <row r="74" spans="1:6" ht="14.25" customHeight="1" x14ac:dyDescent="0.3">
      <c r="A74" s="30" t="s">
        <v>17</v>
      </c>
      <c r="B74" s="31">
        <v>63</v>
      </c>
      <c r="C74" s="32">
        <f>IF(C73="","",C73+B73)</f>
        <v>46570</v>
      </c>
    </row>
    <row r="75" spans="1:6" ht="14.25" customHeight="1" x14ac:dyDescent="0.3">
      <c r="A75" s="27" t="s">
        <v>18</v>
      </c>
      <c r="B75" s="28">
        <v>1</v>
      </c>
      <c r="C75" s="29">
        <f>IF(C74="","",C74+B74)</f>
        <v>46633</v>
      </c>
    </row>
    <row r="76" spans="1:6" ht="14.25" customHeight="1" x14ac:dyDescent="0.3">
      <c r="A76" s="30" t="s">
        <v>19</v>
      </c>
      <c r="B76" s="31">
        <v>7</v>
      </c>
      <c r="C76" s="32">
        <f>IF(C75="","",C75+B75)</f>
        <v>46634</v>
      </c>
    </row>
    <row r="77" spans="1:6" ht="14.25" customHeight="1" x14ac:dyDescent="0.3">
      <c r="A77" s="27" t="s">
        <v>20</v>
      </c>
      <c r="B77" s="28">
        <v>3</v>
      </c>
      <c r="C77" s="29">
        <f>IF(C76="","",C76+B76)</f>
        <v>46641</v>
      </c>
    </row>
    <row r="78" spans="1:6" ht="14.25" customHeight="1" x14ac:dyDescent="0.3">
      <c r="A78" s="30" t="s">
        <v>21</v>
      </c>
      <c r="B78" s="31"/>
      <c r="C78" s="32">
        <f>IF(C77="","",C77+B77)</f>
        <v>46644</v>
      </c>
    </row>
    <row r="79" spans="1:6" ht="14.25" customHeight="1" x14ac:dyDescent="0.3">
      <c r="A79" s="34"/>
      <c r="B79" s="34"/>
      <c r="C79" s="34"/>
    </row>
    <row r="80" spans="1:6" ht="14.25" customHeight="1" x14ac:dyDescent="0.3">
      <c r="A80" s="35" t="s">
        <v>22</v>
      </c>
      <c r="B80" s="36" t="s">
        <v>23</v>
      </c>
      <c r="C80" s="34"/>
    </row>
    <row r="81" spans="1:6" ht="14.25" customHeight="1" x14ac:dyDescent="0.3">
      <c r="A81" s="17"/>
      <c r="B81" s="4"/>
      <c r="C81" s="34"/>
    </row>
    <row r="82" spans="1:6" ht="14.25" customHeight="1" x14ac:dyDescent="0.3">
      <c r="A82" s="37" t="s">
        <v>29</v>
      </c>
      <c r="B82" s="10">
        <f>SUM(B81:B81)</f>
        <v>0</v>
      </c>
      <c r="C82" s="34"/>
    </row>
    <row r="83" spans="1:6" ht="14.25" customHeight="1" x14ac:dyDescent="0.3">
      <c r="A83" s="34"/>
      <c r="B83" s="34"/>
      <c r="C83" s="34"/>
    </row>
    <row r="84" spans="1:6" ht="14.25" customHeight="1" x14ac:dyDescent="0.3">
      <c r="A84" s="61" t="s">
        <v>30</v>
      </c>
      <c r="B84" s="62"/>
      <c r="C84" s="62"/>
      <c r="D84" s="62"/>
      <c r="E84" s="62"/>
      <c r="F84" s="62"/>
    </row>
    <row r="85" spans="1:6" ht="39.75" customHeight="1" x14ac:dyDescent="0.3">
      <c r="A85" s="57"/>
      <c r="B85" s="58"/>
      <c r="C85" s="58"/>
      <c r="D85" s="58"/>
      <c r="E85" s="58"/>
      <c r="F85" s="58"/>
    </row>
    <row r="86" spans="1:6" ht="14.25" customHeight="1" x14ac:dyDescent="0.3">
      <c r="A86" s="59"/>
      <c r="B86" s="60"/>
      <c r="C86" s="60"/>
      <c r="D86" s="60"/>
      <c r="E86" s="60"/>
      <c r="F86" s="60"/>
    </row>
    <row r="87" spans="1:6" ht="14.25" customHeight="1" x14ac:dyDescent="0.3">
      <c r="A87" s="34"/>
      <c r="B87" s="34"/>
      <c r="C87" s="34"/>
    </row>
  </sheetData>
  <mergeCells count="17">
    <mergeCell ref="A84:F84"/>
    <mergeCell ref="A85:F86"/>
    <mergeCell ref="A68:F69"/>
    <mergeCell ref="A1:F1"/>
    <mergeCell ref="A37:F37"/>
    <mergeCell ref="A67:F67"/>
    <mergeCell ref="A17:F18"/>
    <mergeCell ref="A50:F50"/>
    <mergeCell ref="A34:F35"/>
    <mergeCell ref="A51:F52"/>
    <mergeCell ref="A3:F3"/>
    <mergeCell ref="A20:F20"/>
    <mergeCell ref="A33:F33"/>
    <mergeCell ref="A16:F16"/>
    <mergeCell ref="A54:F54"/>
    <mergeCell ref="H1:M1"/>
    <mergeCell ref="A71:F7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40916C"/>
  </sheetPr>
  <dimension ref="A1:G77"/>
  <sheetViews>
    <sheetView showGridLines="0" topLeftCell="A47" zoomScaleNormal="100" workbookViewId="0">
      <selection sqref="A1:G1"/>
    </sheetView>
  </sheetViews>
  <sheetFormatPr baseColWidth="10" defaultColWidth="8.6640625" defaultRowHeight="14.4" x14ac:dyDescent="0.3"/>
  <cols>
    <col min="1" max="1" width="12" customWidth="1"/>
    <col min="2" max="2" width="14" customWidth="1"/>
    <col min="3" max="3" width="18" customWidth="1"/>
    <col min="4" max="4" width="11" customWidth="1"/>
    <col min="5" max="6" width="16" customWidth="1"/>
    <col min="7" max="7" width="26" customWidth="1"/>
  </cols>
  <sheetData>
    <row r="1" spans="1:7" ht="27.75" customHeight="1" x14ac:dyDescent="0.3">
      <c r="A1" s="73" t="s">
        <v>125</v>
      </c>
      <c r="B1" s="64"/>
      <c r="C1" s="64"/>
      <c r="D1" s="64"/>
      <c r="E1" s="64"/>
      <c r="F1" s="64"/>
      <c r="G1" s="64"/>
    </row>
    <row r="2" spans="1:7" ht="30" customHeight="1" x14ac:dyDescent="0.3">
      <c r="A2" s="74" t="s">
        <v>126</v>
      </c>
      <c r="B2" s="64"/>
      <c r="C2" s="64"/>
      <c r="D2" s="64"/>
      <c r="E2" s="64"/>
      <c r="F2" s="64"/>
      <c r="G2" s="64"/>
    </row>
    <row r="4" spans="1:7" ht="21.75" customHeight="1" x14ac:dyDescent="0.3">
      <c r="A4" s="75" t="s">
        <v>103</v>
      </c>
      <c r="B4" s="62"/>
      <c r="C4" s="62"/>
      <c r="D4" s="62"/>
      <c r="E4" s="62"/>
      <c r="F4" s="62"/>
      <c r="G4" s="76"/>
    </row>
    <row r="5" spans="1:7" ht="25.5" customHeight="1" x14ac:dyDescent="0.3">
      <c r="A5" s="1" t="s">
        <v>127</v>
      </c>
      <c r="B5" s="1" t="s">
        <v>128</v>
      </c>
      <c r="C5" s="1" t="s">
        <v>63</v>
      </c>
      <c r="D5" s="1" t="s">
        <v>129</v>
      </c>
      <c r="E5" s="1" t="s">
        <v>130</v>
      </c>
      <c r="F5" s="1" t="s">
        <v>131</v>
      </c>
      <c r="G5" s="1" t="s">
        <v>8</v>
      </c>
    </row>
    <row r="6" spans="1:7" ht="15" customHeight="1" x14ac:dyDescent="0.3">
      <c r="A6" s="43" t="s">
        <v>9</v>
      </c>
      <c r="B6" s="21">
        <f>IF('SALA 1'!C9="","",'SALA 1'!C9)</f>
        <v>46250</v>
      </c>
      <c r="C6" s="44" t="s">
        <v>111</v>
      </c>
      <c r="D6" s="45">
        <f>IF('SALA 1'!B18=0,"",'SALA 1'!B16/'SALA 1'!B18)</f>
        <v>0.3888888888888889</v>
      </c>
      <c r="E6" s="4"/>
      <c r="F6" s="28" t="str">
        <f>IF(E6="","",E6/1000)</f>
        <v/>
      </c>
      <c r="G6" s="17"/>
    </row>
    <row r="7" spans="1:7" ht="15" customHeight="1" x14ac:dyDescent="0.3">
      <c r="A7" s="44"/>
      <c r="B7" s="21">
        <f>IF('SALA 1'!C9="","",'SALA 1'!C9)</f>
        <v>46250</v>
      </c>
      <c r="C7" s="44" t="s">
        <v>68</v>
      </c>
      <c r="D7" s="45">
        <f>IF('SALA 1'!B18=0,"",'SALA 1'!B17/'SALA 1'!B18)</f>
        <v>0.61111111111111116</v>
      </c>
      <c r="E7" s="28" t="str">
        <f>IF($E$6="","",$E$6*D7)</f>
        <v/>
      </c>
      <c r="F7" s="28" t="str">
        <f>IF(E7="","",E7/1000)</f>
        <v/>
      </c>
      <c r="G7" s="17"/>
    </row>
    <row r="8" spans="1:7" ht="15" customHeight="1" x14ac:dyDescent="0.3">
      <c r="A8" s="46"/>
      <c r="B8" s="46"/>
      <c r="C8" s="47" t="s">
        <v>132</v>
      </c>
      <c r="D8" s="46"/>
      <c r="E8" s="36" t="str">
        <f>IF(E6="","",E6)</f>
        <v/>
      </c>
      <c r="F8" s="36" t="str">
        <f>IF(E6="","",E6/1000)</f>
        <v/>
      </c>
      <c r="G8" s="46"/>
    </row>
    <row r="9" spans="1:7" ht="15" customHeight="1" x14ac:dyDescent="0.3">
      <c r="A9" s="43" t="s">
        <v>32</v>
      </c>
      <c r="B9" s="21">
        <f>IF('SALA 1'!C52="","",'SALA 1'!C52)</f>
        <v>46428</v>
      </c>
      <c r="C9" s="44" t="s">
        <v>133</v>
      </c>
      <c r="D9" s="22"/>
      <c r="E9" s="4"/>
      <c r="F9" s="28" t="str">
        <f>IF(E9="","",E9/1000)</f>
        <v/>
      </c>
      <c r="G9" s="17"/>
    </row>
    <row r="10" spans="1:7" ht="15" customHeight="1" x14ac:dyDescent="0.3">
      <c r="A10" s="34"/>
      <c r="B10" s="34"/>
      <c r="C10" s="34"/>
      <c r="D10" s="34"/>
      <c r="E10" s="34"/>
      <c r="F10" s="34"/>
      <c r="G10" s="34"/>
    </row>
    <row r="11" spans="1:7" ht="21.75" customHeight="1" x14ac:dyDescent="0.3">
      <c r="A11" s="75" t="s">
        <v>92</v>
      </c>
      <c r="B11" s="62"/>
      <c r="C11" s="62"/>
      <c r="D11" s="62"/>
      <c r="E11" s="62"/>
      <c r="F11" s="62"/>
      <c r="G11" s="76"/>
    </row>
    <row r="12" spans="1:7" ht="25.5" customHeight="1" x14ac:dyDescent="0.3">
      <c r="A12" s="1" t="s">
        <v>127</v>
      </c>
      <c r="B12" s="1" t="s">
        <v>128</v>
      </c>
      <c r="C12" s="1" t="s">
        <v>63</v>
      </c>
      <c r="D12" s="1" t="s">
        <v>129</v>
      </c>
      <c r="E12" s="1" t="s">
        <v>130</v>
      </c>
      <c r="F12" s="1" t="s">
        <v>131</v>
      </c>
      <c r="G12" s="1" t="s">
        <v>8</v>
      </c>
    </row>
    <row r="13" spans="1:7" ht="15" customHeight="1" x14ac:dyDescent="0.3">
      <c r="A13" s="43" t="s">
        <v>9</v>
      </c>
      <c r="B13" s="21">
        <f>IF('SALA 2'!C10="","",'SALA 2'!C10)</f>
        <v>46209</v>
      </c>
      <c r="C13" s="44" t="s">
        <v>70</v>
      </c>
      <c r="D13" s="45">
        <f>IF('SALA 2'!B18=0,"",'SALA 2'!B16/'SALA 2'!B18)</f>
        <v>0.75</v>
      </c>
      <c r="E13" s="4"/>
      <c r="F13" s="28" t="str">
        <f>IF(E13="","",E13/1000)</f>
        <v/>
      </c>
      <c r="G13" s="17"/>
    </row>
    <row r="14" spans="1:7" ht="15" customHeight="1" x14ac:dyDescent="0.3">
      <c r="A14" s="44"/>
      <c r="B14" s="21">
        <f>IF('SALA 2'!C10="","",'SALA 2'!C10)</f>
        <v>46209</v>
      </c>
      <c r="C14" s="44" t="s">
        <v>113</v>
      </c>
      <c r="D14" s="45">
        <f>IF('SALA 2'!B18=0,"",'SALA 2'!B17/'SALA 2'!B18)</f>
        <v>0.25</v>
      </c>
      <c r="E14" s="28" t="str">
        <f>IF($E$13="","",$E$13*D14)</f>
        <v/>
      </c>
      <c r="F14" s="28" t="str">
        <f>IF(E14="","",E14/1000)</f>
        <v/>
      </c>
      <c r="G14" s="17"/>
    </row>
    <row r="15" spans="1:7" ht="15" customHeight="1" x14ac:dyDescent="0.3">
      <c r="A15" s="46"/>
      <c r="B15" s="46"/>
      <c r="C15" s="47" t="s">
        <v>132</v>
      </c>
      <c r="D15" s="46"/>
      <c r="E15" s="36" t="str">
        <f>IF(E13="","",E13)</f>
        <v/>
      </c>
      <c r="F15" s="36" t="str">
        <f>IF(E13="","",E13/1000)</f>
        <v/>
      </c>
      <c r="G15" s="46"/>
    </row>
    <row r="16" spans="1:7" ht="15" customHeight="1" x14ac:dyDescent="0.3">
      <c r="A16" s="43" t="s">
        <v>31</v>
      </c>
      <c r="B16" s="21">
        <f>IF('SALA 2'!C31="","",'SALA 2'!C31)</f>
        <v>46298</v>
      </c>
      <c r="C16" s="44" t="s">
        <v>133</v>
      </c>
      <c r="D16" s="22"/>
      <c r="E16" s="4"/>
      <c r="F16" s="28" t="str">
        <f>IF(E16="","",E16/1000)</f>
        <v/>
      </c>
      <c r="G16" s="17"/>
    </row>
    <row r="17" spans="1:7" ht="15" customHeight="1" x14ac:dyDescent="0.3">
      <c r="A17" s="43" t="s">
        <v>32</v>
      </c>
      <c r="B17" s="21">
        <f>IF('SALA 2'!C52="","",'SALA 2'!C52)</f>
        <v>46386</v>
      </c>
      <c r="C17" s="44" t="s">
        <v>133</v>
      </c>
      <c r="D17" s="22"/>
      <c r="E17" s="4"/>
      <c r="F17" s="28" t="str">
        <f>IF(E17="","",E17/1000)</f>
        <v/>
      </c>
      <c r="G17" s="17"/>
    </row>
    <row r="18" spans="1:7" ht="15" customHeight="1" x14ac:dyDescent="0.3">
      <c r="A18" s="34"/>
      <c r="B18" s="34"/>
      <c r="C18" s="34"/>
      <c r="D18" s="34"/>
      <c r="E18" s="34"/>
      <c r="F18" s="34"/>
      <c r="G18" s="34"/>
    </row>
    <row r="19" spans="1:7" ht="21.75" customHeight="1" x14ac:dyDescent="0.3">
      <c r="A19" s="75" t="s">
        <v>94</v>
      </c>
      <c r="B19" s="62"/>
      <c r="C19" s="62"/>
      <c r="D19" s="62"/>
      <c r="E19" s="62"/>
      <c r="F19" s="62"/>
      <c r="G19" s="76"/>
    </row>
    <row r="20" spans="1:7" ht="25.5" customHeight="1" x14ac:dyDescent="0.3">
      <c r="A20" s="1" t="s">
        <v>127</v>
      </c>
      <c r="B20" s="1" t="s">
        <v>128</v>
      </c>
      <c r="C20" s="1" t="s">
        <v>63</v>
      </c>
      <c r="D20" s="1" t="s">
        <v>129</v>
      </c>
      <c r="E20" s="1" t="s">
        <v>130</v>
      </c>
      <c r="F20" s="1" t="s">
        <v>131</v>
      </c>
      <c r="G20" s="1" t="s">
        <v>8</v>
      </c>
    </row>
    <row r="21" spans="1:7" ht="15" customHeight="1" x14ac:dyDescent="0.3">
      <c r="A21" s="43" t="s">
        <v>9</v>
      </c>
      <c r="B21" s="21">
        <f>IF('SALA 3'!C10="","",'SALA 3'!C10)</f>
        <v>46223</v>
      </c>
      <c r="C21" s="44" t="s">
        <v>115</v>
      </c>
      <c r="D21" s="45">
        <f>IF('SALA 3'!B20=0,"",'SALA 3'!B16/'SALA 3'!B20)</f>
        <v>0.25</v>
      </c>
      <c r="E21" s="4"/>
      <c r="F21" s="28" t="str">
        <f>IF(E21="","",E21/1000)</f>
        <v/>
      </c>
      <c r="G21" s="17"/>
    </row>
    <row r="22" spans="1:7" ht="15" customHeight="1" x14ac:dyDescent="0.3">
      <c r="A22" s="44"/>
      <c r="B22" s="21">
        <f>IF('SALA 3'!C10="","",'SALA 3'!C10)</f>
        <v>46223</v>
      </c>
      <c r="C22" s="44" t="s">
        <v>67</v>
      </c>
      <c r="D22" s="45">
        <f>IF('SALA 3'!B20=0,"",'SALA 3'!B17/'SALA 3'!B20)</f>
        <v>0.3611111111111111</v>
      </c>
      <c r="E22" s="28" t="str">
        <f>IF($E$21="","",$E$21*D22)</f>
        <v/>
      </c>
      <c r="F22" s="28" t="str">
        <f>IF(E22="","",E22/1000)</f>
        <v/>
      </c>
      <c r="G22" s="17"/>
    </row>
    <row r="23" spans="1:7" ht="15" customHeight="1" x14ac:dyDescent="0.3">
      <c r="A23" s="44"/>
      <c r="B23" s="21">
        <f>IF('SALA 3'!C10="","",'SALA 3'!C10)</f>
        <v>46223</v>
      </c>
      <c r="C23" s="44" t="s">
        <v>71</v>
      </c>
      <c r="D23" s="45">
        <f>IF('SALA 3'!B20=0,"",'SALA 3'!B18/'SALA 3'!B20)</f>
        <v>0.2638888888888889</v>
      </c>
      <c r="E23" s="28" t="str">
        <f>IF($E$21="","",$E$21*D23)</f>
        <v/>
      </c>
      <c r="F23" s="28" t="str">
        <f>IF(E23="","",E23/1000)</f>
        <v/>
      </c>
      <c r="G23" s="17"/>
    </row>
    <row r="24" spans="1:7" ht="15" customHeight="1" x14ac:dyDescent="0.3">
      <c r="A24" s="44"/>
      <c r="B24" s="21">
        <f>IF('SALA 3'!C10="","",'SALA 3'!C10)</f>
        <v>46223</v>
      </c>
      <c r="C24" s="44" t="s">
        <v>69</v>
      </c>
      <c r="D24" s="45">
        <f>IF('SALA 3'!B20=0,"",'SALA 3'!B19/'SALA 3'!B20)</f>
        <v>0.125</v>
      </c>
      <c r="E24" s="28" t="str">
        <f>IF($E$21="","",$E$21*D24)</f>
        <v/>
      </c>
      <c r="F24" s="28" t="str">
        <f>IF(E24="","",E24/1000)</f>
        <v/>
      </c>
      <c r="G24" s="17"/>
    </row>
    <row r="25" spans="1:7" ht="15" customHeight="1" x14ac:dyDescent="0.3">
      <c r="A25" s="46"/>
      <c r="B25" s="46"/>
      <c r="C25" s="47" t="s">
        <v>132</v>
      </c>
      <c r="D25" s="46"/>
      <c r="E25" s="36" t="str">
        <f>IF(E21="","",E21)</f>
        <v/>
      </c>
      <c r="F25" s="36" t="str">
        <f>IF(E21="","",E21/1000)</f>
        <v/>
      </c>
      <c r="G25" s="46"/>
    </row>
    <row r="26" spans="1:7" ht="15" customHeight="1" x14ac:dyDescent="0.3">
      <c r="A26" s="43" t="s">
        <v>31</v>
      </c>
      <c r="B26" s="21">
        <f>IF('SALA 3'!C33="","",'SALA 3'!C33)</f>
        <v>46311</v>
      </c>
      <c r="C26" s="44" t="s">
        <v>133</v>
      </c>
      <c r="D26" s="22"/>
      <c r="E26" s="4"/>
      <c r="F26" s="28" t="str">
        <f>IF(E26="","",E26/1000)</f>
        <v/>
      </c>
      <c r="G26" s="17"/>
    </row>
    <row r="27" spans="1:7" ht="15" customHeight="1" x14ac:dyDescent="0.3">
      <c r="A27" s="43" t="s">
        <v>32</v>
      </c>
      <c r="B27" s="21">
        <f>IF('SALA 3'!C54="","",'SALA 3'!C54)</f>
        <v>46401</v>
      </c>
      <c r="C27" s="44" t="s">
        <v>133</v>
      </c>
      <c r="D27" s="22"/>
      <c r="E27" s="4"/>
      <c r="F27" s="28" t="str">
        <f>IF(E27="","",E27/1000)</f>
        <v/>
      </c>
      <c r="G27" s="17"/>
    </row>
    <row r="28" spans="1:7" ht="15" customHeight="1" x14ac:dyDescent="0.3">
      <c r="A28" s="34"/>
      <c r="B28" s="34"/>
      <c r="C28" s="34"/>
      <c r="D28" s="34"/>
      <c r="E28" s="34"/>
      <c r="F28" s="34"/>
      <c r="G28" s="34"/>
    </row>
    <row r="29" spans="1:7" ht="21.75" customHeight="1" x14ac:dyDescent="0.3">
      <c r="A29" s="75" t="s">
        <v>96</v>
      </c>
      <c r="B29" s="62"/>
      <c r="C29" s="62"/>
      <c r="D29" s="62"/>
      <c r="E29" s="62"/>
      <c r="F29" s="62"/>
      <c r="G29" s="76"/>
    </row>
    <row r="30" spans="1:7" ht="25.5" customHeight="1" x14ac:dyDescent="0.3">
      <c r="A30" s="1" t="s">
        <v>127</v>
      </c>
      <c r="B30" s="1" t="s">
        <v>128</v>
      </c>
      <c r="C30" s="1" t="s">
        <v>63</v>
      </c>
      <c r="D30" s="1" t="s">
        <v>129</v>
      </c>
      <c r="E30" s="1" t="s">
        <v>130</v>
      </c>
      <c r="F30" s="1" t="s">
        <v>131</v>
      </c>
      <c r="G30" s="1" t="s">
        <v>8</v>
      </c>
    </row>
    <row r="31" spans="1:7" ht="15" customHeight="1" x14ac:dyDescent="0.3">
      <c r="A31" s="43" t="s">
        <v>9</v>
      </c>
      <c r="B31" s="21">
        <f>IF('SALA 4'!C10="","",'SALA 4'!C10)</f>
        <v>46229</v>
      </c>
      <c r="C31" s="44" t="s">
        <v>26</v>
      </c>
      <c r="D31" s="45">
        <f>IF('SALA 4'!B19=0,"",'SALA 4'!B16/'SALA 4'!B19)</f>
        <v>0.32</v>
      </c>
      <c r="E31" s="4"/>
      <c r="F31" s="28" t="str">
        <f>IF(E31="","",E31/1000)</f>
        <v/>
      </c>
      <c r="G31" s="17"/>
    </row>
    <row r="32" spans="1:7" ht="15" customHeight="1" x14ac:dyDescent="0.3">
      <c r="A32" s="44"/>
      <c r="B32" s="21">
        <f>IF('SALA 4'!C10="","",'SALA 4'!C10)</f>
        <v>46229</v>
      </c>
      <c r="C32" s="44" t="s">
        <v>25</v>
      </c>
      <c r="D32" s="45">
        <f>IF('SALA 4'!B19=0,"",'SALA 4'!B17/'SALA 4'!B19)</f>
        <v>0.24</v>
      </c>
      <c r="E32" s="28" t="str">
        <f>IF($E$31="","",$E$31*D32)</f>
        <v/>
      </c>
      <c r="F32" s="28" t="str">
        <f>IF(E32="","",E32/1000)</f>
        <v/>
      </c>
      <c r="G32" s="17"/>
    </row>
    <row r="33" spans="1:7" ht="15" customHeight="1" x14ac:dyDescent="0.3">
      <c r="A33" s="44"/>
      <c r="B33" s="21">
        <f>IF('SALA 4'!C10="","",'SALA 4'!C10)</f>
        <v>46229</v>
      </c>
      <c r="C33" s="44" t="s">
        <v>28</v>
      </c>
      <c r="D33" s="45">
        <f>IF('SALA 4'!B19=0,"",'SALA 4'!B18/'SALA 4'!B19)</f>
        <v>0.44</v>
      </c>
      <c r="E33" s="28" t="str">
        <f>IF($E$31="","",$E$31*D33)</f>
        <v/>
      </c>
      <c r="F33" s="28" t="str">
        <f>IF(E33="","",E33/1000)</f>
        <v/>
      </c>
      <c r="G33" s="17"/>
    </row>
    <row r="34" spans="1:7" ht="15" customHeight="1" x14ac:dyDescent="0.3">
      <c r="A34" s="46"/>
      <c r="B34" s="46"/>
      <c r="C34" s="47" t="s">
        <v>132</v>
      </c>
      <c r="D34" s="46"/>
      <c r="E34" s="36" t="str">
        <f>IF(E31="","",E31)</f>
        <v/>
      </c>
      <c r="F34" s="36" t="str">
        <f>IF(E31="","",E31/1000)</f>
        <v/>
      </c>
      <c r="G34" s="46"/>
    </row>
    <row r="35" spans="1:7" ht="15" customHeight="1" x14ac:dyDescent="0.3">
      <c r="A35" s="43" t="s">
        <v>31</v>
      </c>
      <c r="B35" s="21">
        <f>IF('SALA 4'!C32="","",'SALA 4'!C32)</f>
        <v>46317</v>
      </c>
      <c r="C35" s="44" t="s">
        <v>133</v>
      </c>
      <c r="D35" s="22"/>
      <c r="E35" s="4"/>
      <c r="F35" s="28" t="str">
        <f>IF(E35="","",E35/1000)</f>
        <v/>
      </c>
      <c r="G35" s="17"/>
    </row>
    <row r="36" spans="1:7" ht="15" customHeight="1" x14ac:dyDescent="0.3">
      <c r="A36" s="43" t="s">
        <v>32</v>
      </c>
      <c r="B36" s="21">
        <f>IF('SALA 4'!C53="","",'SALA 4'!C53)</f>
        <v>46407</v>
      </c>
      <c r="C36" s="44" t="s">
        <v>133</v>
      </c>
      <c r="D36" s="22"/>
      <c r="E36" s="4"/>
      <c r="F36" s="28" t="str">
        <f>IF(E36="","",E36/1000)</f>
        <v/>
      </c>
      <c r="G36" s="17"/>
    </row>
    <row r="37" spans="1:7" ht="15" customHeight="1" x14ac:dyDescent="0.3">
      <c r="A37" s="34"/>
      <c r="B37" s="34"/>
      <c r="C37" s="34"/>
      <c r="D37" s="34"/>
      <c r="E37" s="34"/>
      <c r="F37" s="34"/>
      <c r="G37" s="34"/>
    </row>
    <row r="38" spans="1:7" ht="21.75" customHeight="1" x14ac:dyDescent="0.3">
      <c r="A38" s="75" t="s">
        <v>99</v>
      </c>
      <c r="B38" s="62"/>
      <c r="C38" s="62"/>
      <c r="D38" s="62"/>
      <c r="E38" s="62"/>
      <c r="F38" s="62"/>
      <c r="G38" s="76"/>
    </row>
    <row r="39" spans="1:7" ht="25.5" customHeight="1" x14ac:dyDescent="0.3">
      <c r="A39" s="1" t="s">
        <v>127</v>
      </c>
      <c r="B39" s="1" t="s">
        <v>128</v>
      </c>
      <c r="C39" s="1" t="s">
        <v>63</v>
      </c>
      <c r="D39" s="1" t="s">
        <v>129</v>
      </c>
      <c r="E39" s="1" t="s">
        <v>130</v>
      </c>
      <c r="F39" s="1" t="s">
        <v>131</v>
      </c>
      <c r="G39" s="1" t="s">
        <v>8</v>
      </c>
    </row>
    <row r="40" spans="1:7" ht="15" customHeight="1" x14ac:dyDescent="0.3">
      <c r="A40" s="43" t="s">
        <v>9</v>
      </c>
      <c r="B40" s="21">
        <f>IF('SALA 5'!C10="","",'SALA 5'!C10)</f>
        <v>46241</v>
      </c>
      <c r="C40" s="44" t="s">
        <v>24</v>
      </c>
      <c r="D40" s="45">
        <f>IF('SALA 5'!B17=0,"",'SALA 5'!B16/'SALA 5'!B17)</f>
        <v>1</v>
      </c>
      <c r="E40" s="4"/>
      <c r="F40" s="28" t="str">
        <f>IF(E40="","",E40/1000)</f>
        <v/>
      </c>
      <c r="G40" s="17"/>
    </row>
    <row r="41" spans="1:7" ht="15" customHeight="1" x14ac:dyDescent="0.3">
      <c r="A41" s="43" t="s">
        <v>31</v>
      </c>
      <c r="B41" s="21">
        <f>IF('SALA 5'!C30="","",'SALA 5'!C30)</f>
        <v>46329</v>
      </c>
      <c r="C41" s="44" t="s">
        <v>133</v>
      </c>
      <c r="D41" s="22"/>
      <c r="E41" s="4"/>
      <c r="F41" s="28" t="str">
        <f>IF(E41="","",E41/1000)</f>
        <v/>
      </c>
      <c r="G41" s="17"/>
    </row>
    <row r="42" spans="1:7" ht="15" customHeight="1" x14ac:dyDescent="0.3">
      <c r="A42" s="43" t="s">
        <v>32</v>
      </c>
      <c r="B42" s="21">
        <f>IF('SALA 5'!C50="","",'SALA 5'!C50)</f>
        <v>46417</v>
      </c>
      <c r="C42" s="44" t="s">
        <v>133</v>
      </c>
      <c r="D42" s="22"/>
      <c r="E42" s="4"/>
      <c r="F42" s="28" t="str">
        <f>IF(E42="","",E42/1000)</f>
        <v/>
      </c>
      <c r="G42" s="17"/>
    </row>
    <row r="43" spans="1:7" ht="15" customHeight="1" x14ac:dyDescent="0.3">
      <c r="A43" s="34"/>
      <c r="B43" s="34"/>
      <c r="C43" s="34"/>
      <c r="D43" s="34"/>
      <c r="E43" s="34"/>
      <c r="F43" s="34"/>
      <c r="G43" s="34"/>
    </row>
    <row r="44" spans="1:7" ht="21.75" customHeight="1" x14ac:dyDescent="0.3">
      <c r="A44" s="75" t="s">
        <v>86</v>
      </c>
      <c r="B44" s="62"/>
      <c r="C44" s="62"/>
      <c r="D44" s="62"/>
      <c r="E44" s="62"/>
      <c r="F44" s="62"/>
      <c r="G44" s="76"/>
    </row>
    <row r="45" spans="1:7" ht="25.5" customHeight="1" x14ac:dyDescent="0.3">
      <c r="A45" s="1" t="s">
        <v>127</v>
      </c>
      <c r="B45" s="1" t="s">
        <v>128</v>
      </c>
      <c r="C45" s="1" t="s">
        <v>63</v>
      </c>
      <c r="D45" s="1" t="s">
        <v>129</v>
      </c>
      <c r="E45" s="1" t="s">
        <v>130</v>
      </c>
      <c r="F45" s="1" t="s">
        <v>131</v>
      </c>
      <c r="G45" s="1" t="s">
        <v>8</v>
      </c>
    </row>
    <row r="46" spans="1:7" ht="15" customHeight="1" x14ac:dyDescent="0.3">
      <c r="A46" s="43" t="s">
        <v>9</v>
      </c>
      <c r="B46" s="21">
        <f>IF('SALA 6'!C10="","",'SALA 6'!C10)</f>
        <v>46186</v>
      </c>
      <c r="C46" s="44" t="s">
        <v>24</v>
      </c>
      <c r="D46" s="45">
        <f>IF('SALA 6'!B21=0,"",'SALA 6'!B16/'SALA 6'!B21)</f>
        <v>0.45833333333333331</v>
      </c>
      <c r="E46" s="4"/>
      <c r="F46" s="28" t="str">
        <f>IF(E46="","",E46/1000)</f>
        <v/>
      </c>
      <c r="G46" s="17"/>
    </row>
    <row r="47" spans="1:7" ht="15" customHeight="1" x14ac:dyDescent="0.3">
      <c r="A47" s="44"/>
      <c r="B47" s="21">
        <f>IF('SALA 6'!C10="","",'SALA 6'!C10)</f>
        <v>46186</v>
      </c>
      <c r="C47" s="44" t="s">
        <v>25</v>
      </c>
      <c r="D47" s="45">
        <f>IF('SALA 6'!B21=0,"",'SALA 6'!B17/'SALA 6'!B21)</f>
        <v>0.39583333333333331</v>
      </c>
      <c r="E47" s="28" t="str">
        <f>IF($E$46="","",$E$46*D47)</f>
        <v/>
      </c>
      <c r="F47" s="28" t="str">
        <f>IF(E47="","",E47/1000)</f>
        <v/>
      </c>
      <c r="G47" s="17"/>
    </row>
    <row r="48" spans="1:7" ht="15" customHeight="1" x14ac:dyDescent="0.3">
      <c r="A48" s="44"/>
      <c r="B48" s="21">
        <f>IF('SALA 6'!C10="","",'SALA 6'!C10)</f>
        <v>46186</v>
      </c>
      <c r="C48" s="44" t="s">
        <v>26</v>
      </c>
      <c r="D48" s="45">
        <f>IF('SALA 6'!B21=0,"",'SALA 6'!B18/'SALA 6'!B21)</f>
        <v>6.25E-2</v>
      </c>
      <c r="E48" s="28" t="str">
        <f>IF($E$46="","",$E$46*D48)</f>
        <v/>
      </c>
      <c r="F48" s="28" t="str">
        <f>IF(E48="","",E48/1000)</f>
        <v/>
      </c>
      <c r="G48" s="17"/>
    </row>
    <row r="49" spans="1:7" ht="15" customHeight="1" x14ac:dyDescent="0.3">
      <c r="A49" s="44"/>
      <c r="B49" s="21">
        <f>IF('SALA 6'!C10="","",'SALA 6'!C10)</f>
        <v>46186</v>
      </c>
      <c r="C49" s="44" t="s">
        <v>27</v>
      </c>
      <c r="D49" s="45">
        <f>IF('SALA 6'!B21=0,"",'SALA 6'!B19/'SALA 6'!B21)</f>
        <v>2.0833333333333332E-2</v>
      </c>
      <c r="E49" s="28" t="str">
        <f>IF($E$46="","",$E$46*D49)</f>
        <v/>
      </c>
      <c r="F49" s="28" t="str">
        <f>IF(E49="","",E49/1000)</f>
        <v/>
      </c>
      <c r="G49" s="17"/>
    </row>
    <row r="50" spans="1:7" ht="15" customHeight="1" x14ac:dyDescent="0.3">
      <c r="A50" s="44"/>
      <c r="B50" s="21">
        <f>IF('SALA 6'!C10="","",'SALA 6'!C10)</f>
        <v>46186</v>
      </c>
      <c r="C50" s="44" t="s">
        <v>28</v>
      </c>
      <c r="D50" s="45">
        <f>IF('SALA 6'!B21=0,"",'SALA 6'!B20/'SALA 6'!B21)</f>
        <v>6.25E-2</v>
      </c>
      <c r="E50" s="28" t="str">
        <f>IF($E$46="","",$E$46*D50)</f>
        <v/>
      </c>
      <c r="F50" s="28" t="str">
        <f>IF(E50="","",E50/1000)</f>
        <v/>
      </c>
      <c r="G50" s="17"/>
    </row>
    <row r="51" spans="1:7" ht="15" customHeight="1" x14ac:dyDescent="0.3">
      <c r="A51" s="46"/>
      <c r="B51" s="46"/>
      <c r="C51" s="47" t="s">
        <v>132</v>
      </c>
      <c r="D51" s="46"/>
      <c r="E51" s="36" t="str">
        <f>IF(E46="","",E46)</f>
        <v/>
      </c>
      <c r="F51" s="36" t="str">
        <f>IF(E46="","",E46/1000)</f>
        <v/>
      </c>
      <c r="G51" s="46"/>
    </row>
    <row r="52" spans="1:7" ht="15" customHeight="1" x14ac:dyDescent="0.3">
      <c r="A52" s="43" t="s">
        <v>31</v>
      </c>
      <c r="B52" s="21">
        <f>IF('SALA 6'!C34="","",'SALA 6'!C34)</f>
        <v>46274</v>
      </c>
      <c r="C52" s="44" t="s">
        <v>133</v>
      </c>
      <c r="D52" s="22"/>
      <c r="E52" s="4"/>
      <c r="F52" s="28" t="str">
        <f>IF(E52="","",E52/1000)</f>
        <v/>
      </c>
      <c r="G52" s="17"/>
    </row>
    <row r="53" spans="1:7" ht="15" customHeight="1" x14ac:dyDescent="0.3">
      <c r="A53" s="43" t="s">
        <v>32</v>
      </c>
      <c r="B53" s="21">
        <f>IF('SALA 6'!C55="","",'SALA 6'!C55)</f>
        <v>46362</v>
      </c>
      <c r="C53" s="44" t="s">
        <v>133</v>
      </c>
      <c r="D53" s="22"/>
      <c r="E53" s="4"/>
      <c r="F53" s="28" t="str">
        <f>IF(E53="","",E53/1000)</f>
        <v/>
      </c>
      <c r="G53" s="17"/>
    </row>
    <row r="54" spans="1:7" ht="15" customHeight="1" x14ac:dyDescent="0.3">
      <c r="A54" s="34"/>
      <c r="B54" s="34"/>
      <c r="C54" s="34"/>
      <c r="D54" s="34"/>
      <c r="E54" s="34"/>
      <c r="F54" s="34"/>
      <c r="G54" s="34"/>
    </row>
    <row r="55" spans="1:7" ht="21.75" customHeight="1" x14ac:dyDescent="0.3">
      <c r="A55" s="75" t="s">
        <v>105</v>
      </c>
      <c r="B55" s="62"/>
      <c r="C55" s="62"/>
      <c r="D55" s="62"/>
      <c r="E55" s="62"/>
      <c r="F55" s="62"/>
      <c r="G55" s="76"/>
    </row>
    <row r="56" spans="1:7" ht="25.5" customHeight="1" x14ac:dyDescent="0.3">
      <c r="A56" s="1" t="s">
        <v>127</v>
      </c>
      <c r="B56" s="1" t="s">
        <v>128</v>
      </c>
      <c r="C56" s="1" t="s">
        <v>63</v>
      </c>
      <c r="D56" s="1" t="s">
        <v>129</v>
      </c>
      <c r="E56" s="1" t="s">
        <v>130</v>
      </c>
      <c r="F56" s="1" t="s">
        <v>131</v>
      </c>
      <c r="G56" s="1" t="s">
        <v>8</v>
      </c>
    </row>
    <row r="57" spans="1:7" ht="15" customHeight="1" x14ac:dyDescent="0.3">
      <c r="A57" s="43" t="s">
        <v>9</v>
      </c>
      <c r="B57" s="21">
        <f>IF('CARPA 1'!C7="","",'CARPA 1'!C7)</f>
        <v>46261</v>
      </c>
      <c r="C57" s="44" t="s">
        <v>25</v>
      </c>
      <c r="D57" s="45">
        <f>IF('CARPA 1'!B17=0,"",'CARPA 1'!B13/'CARPA 1'!B17)</f>
        <v>0.3</v>
      </c>
      <c r="E57" s="4"/>
      <c r="F57" s="28" t="str">
        <f>IF(E57="","",E57/1000)</f>
        <v/>
      </c>
      <c r="G57" s="17"/>
    </row>
    <row r="58" spans="1:7" ht="15" customHeight="1" x14ac:dyDescent="0.3">
      <c r="A58" s="44"/>
      <c r="B58" s="21">
        <f>IF('CARPA 1'!C7="","",'CARPA 1'!C7)</f>
        <v>46261</v>
      </c>
      <c r="C58" s="44" t="s">
        <v>120</v>
      </c>
      <c r="D58" s="45">
        <f>IF('CARPA 1'!B17=0,"",'CARPA 1'!B14/'CARPA 1'!B17)</f>
        <v>0.2</v>
      </c>
      <c r="E58" s="28" t="str">
        <f>IF($E$57="","",$E$57*D58)</f>
        <v/>
      </c>
      <c r="F58" s="28" t="str">
        <f>IF(E58="","",E58/1000)</f>
        <v/>
      </c>
      <c r="G58" s="17"/>
    </row>
    <row r="59" spans="1:7" ht="15" customHeight="1" x14ac:dyDescent="0.3">
      <c r="A59" s="44"/>
      <c r="B59" s="21">
        <f>IF('CARPA 1'!C7="","",'CARPA 1'!C7)</f>
        <v>46261</v>
      </c>
      <c r="C59" s="44" t="s">
        <v>24</v>
      </c>
      <c r="D59" s="45">
        <f>IF('CARPA 1'!B17=0,"",'CARPA 1'!B15/'CARPA 1'!B17)</f>
        <v>0</v>
      </c>
      <c r="E59" s="28" t="str">
        <f>IF($E$57="","",$E$57*D59)</f>
        <v/>
      </c>
      <c r="F59" s="28" t="str">
        <f>IF(E59="","",E59/1000)</f>
        <v/>
      </c>
      <c r="G59" s="17"/>
    </row>
    <row r="60" spans="1:7" ht="15" customHeight="1" x14ac:dyDescent="0.3">
      <c r="A60" s="46"/>
      <c r="B60" s="46"/>
      <c r="C60" s="47" t="s">
        <v>132</v>
      </c>
      <c r="D60" s="46"/>
      <c r="E60" s="36" t="str">
        <f>IF(E57="","",E57)</f>
        <v/>
      </c>
      <c r="F60" s="36" t="str">
        <f>IF(E57="","",E57/1000)</f>
        <v/>
      </c>
      <c r="G60" s="46"/>
    </row>
    <row r="61" spans="1:7" ht="15" customHeight="1" x14ac:dyDescent="0.3">
      <c r="A61" s="43" t="s">
        <v>31</v>
      </c>
      <c r="B61" s="21">
        <f>IF('CARPA 1'!C27="","",'CARPA 1'!C27)</f>
        <v>46353</v>
      </c>
      <c r="C61" s="44" t="s">
        <v>133</v>
      </c>
      <c r="D61" s="22"/>
      <c r="E61" s="4"/>
      <c r="F61" s="28" t="str">
        <f>IF(E61="","",E61/1000)</f>
        <v/>
      </c>
      <c r="G61" s="17"/>
    </row>
    <row r="62" spans="1:7" ht="15" customHeight="1" x14ac:dyDescent="0.3">
      <c r="A62" s="34"/>
      <c r="B62" s="34"/>
      <c r="C62" s="34"/>
      <c r="D62" s="34"/>
      <c r="E62" s="34"/>
      <c r="F62" s="34"/>
      <c r="G62" s="34"/>
    </row>
    <row r="63" spans="1:7" ht="21.75" customHeight="1" x14ac:dyDescent="0.3">
      <c r="A63" s="75" t="s">
        <v>101</v>
      </c>
      <c r="B63" s="62"/>
      <c r="C63" s="62"/>
      <c r="D63" s="62"/>
      <c r="E63" s="62"/>
      <c r="F63" s="62"/>
      <c r="G63" s="76"/>
    </row>
    <row r="64" spans="1:7" ht="25.5" customHeight="1" x14ac:dyDescent="0.3">
      <c r="A64" s="1" t="s">
        <v>127</v>
      </c>
      <c r="B64" s="1" t="s">
        <v>128</v>
      </c>
      <c r="C64" s="1" t="s">
        <v>63</v>
      </c>
      <c r="D64" s="1" t="s">
        <v>129</v>
      </c>
      <c r="E64" s="1" t="s">
        <v>130</v>
      </c>
      <c r="F64" s="1" t="s">
        <v>131</v>
      </c>
      <c r="G64" s="1" t="s">
        <v>8</v>
      </c>
    </row>
    <row r="65" spans="1:7" ht="15" customHeight="1" x14ac:dyDescent="0.3">
      <c r="A65" s="43" t="s">
        <v>9</v>
      </c>
      <c r="B65" s="21">
        <f>IF('CARPA 2'!C7="","",'CARPA 2'!C7)</f>
        <v>46242</v>
      </c>
      <c r="C65" s="44" t="s">
        <v>122</v>
      </c>
      <c r="D65" s="45">
        <f>IF('CARPA 2'!B14=0,"",'CARPA 2'!B13/'CARPA 2'!B14)</f>
        <v>1</v>
      </c>
      <c r="E65" s="4"/>
      <c r="F65" s="28" t="str">
        <f>IF(E65="","",E65/1000)</f>
        <v/>
      </c>
      <c r="G65" s="17"/>
    </row>
    <row r="66" spans="1:7" ht="15" customHeight="1" x14ac:dyDescent="0.3">
      <c r="A66" s="43" t="s">
        <v>31</v>
      </c>
      <c r="B66" s="21">
        <f>IF('CARPA 2'!C24="","",'CARPA 2'!C24)</f>
        <v>46334</v>
      </c>
      <c r="C66" s="44" t="s">
        <v>133</v>
      </c>
      <c r="D66" s="22"/>
      <c r="E66" s="4"/>
      <c r="F66" s="28" t="str">
        <f>IF(E66="","",E66/1000)</f>
        <v/>
      </c>
      <c r="G66" s="17"/>
    </row>
    <row r="67" spans="1:7" ht="15" customHeight="1" x14ac:dyDescent="0.3">
      <c r="A67" s="34"/>
      <c r="B67" s="34"/>
      <c r="C67" s="34"/>
      <c r="D67" s="34"/>
      <c r="E67" s="34"/>
      <c r="F67" s="34"/>
      <c r="G67" s="34"/>
    </row>
    <row r="68" spans="1:7" ht="21.75" customHeight="1" x14ac:dyDescent="0.3">
      <c r="A68" s="75" t="s">
        <v>89</v>
      </c>
      <c r="B68" s="62"/>
      <c r="C68" s="62"/>
      <c r="D68" s="62"/>
      <c r="E68" s="62"/>
      <c r="F68" s="62"/>
      <c r="G68" s="76"/>
    </row>
    <row r="69" spans="1:7" ht="25.5" customHeight="1" x14ac:dyDescent="0.3">
      <c r="A69" s="1" t="s">
        <v>127</v>
      </c>
      <c r="B69" s="1" t="s">
        <v>128</v>
      </c>
      <c r="C69" s="1" t="s">
        <v>63</v>
      </c>
      <c r="D69" s="1" t="s">
        <v>129</v>
      </c>
      <c r="E69" s="1" t="s">
        <v>130</v>
      </c>
      <c r="F69" s="1" t="s">
        <v>131</v>
      </c>
      <c r="G69" s="1" t="s">
        <v>8</v>
      </c>
    </row>
    <row r="70" spans="1:7" ht="15" customHeight="1" x14ac:dyDescent="0.3">
      <c r="A70" s="43" t="s">
        <v>9</v>
      </c>
      <c r="B70" s="21">
        <f>IF('CARPA 3'!C7="","",'CARPA 3'!C7)</f>
        <v>46203</v>
      </c>
      <c r="C70" s="44" t="s">
        <v>70</v>
      </c>
      <c r="D70" s="45">
        <f>IF('CARPA 3'!B14=0,"",'CARPA 3'!B13/'CARPA 3'!B14)</f>
        <v>1</v>
      </c>
      <c r="E70" s="4"/>
      <c r="F70" s="28" t="str">
        <f>IF(E70="","",E70/1000)</f>
        <v/>
      </c>
      <c r="G70" s="17"/>
    </row>
    <row r="71" spans="1:7" ht="15" customHeight="1" x14ac:dyDescent="0.3">
      <c r="A71" s="43" t="s">
        <v>31</v>
      </c>
      <c r="B71" s="21">
        <f>IF('CARPA 3'!C24="","",'CARPA 3'!C24)</f>
        <v>46295</v>
      </c>
      <c r="C71" s="44" t="s">
        <v>133</v>
      </c>
      <c r="D71" s="22"/>
      <c r="E71" s="4"/>
      <c r="F71" s="28" t="str">
        <f>IF(E71="","",E71/1000)</f>
        <v/>
      </c>
      <c r="G71" s="17"/>
    </row>
    <row r="72" spans="1:7" ht="15" customHeight="1" x14ac:dyDescent="0.3">
      <c r="A72" s="34"/>
      <c r="B72" s="34"/>
      <c r="C72" s="34"/>
      <c r="D72" s="34"/>
      <c r="E72" s="34"/>
      <c r="F72" s="34"/>
      <c r="G72" s="34"/>
    </row>
    <row r="73" spans="1:7" ht="21.75" customHeight="1" x14ac:dyDescent="0.3">
      <c r="A73" s="75" t="s">
        <v>108</v>
      </c>
      <c r="B73" s="62"/>
      <c r="C73" s="62"/>
      <c r="D73" s="62"/>
      <c r="E73" s="62"/>
      <c r="F73" s="62"/>
      <c r="G73" s="76"/>
    </row>
    <row r="74" spans="1:7" ht="25.5" customHeight="1" x14ac:dyDescent="0.3">
      <c r="A74" s="1" t="s">
        <v>127</v>
      </c>
      <c r="B74" s="1" t="s">
        <v>128</v>
      </c>
      <c r="C74" s="1" t="s">
        <v>63</v>
      </c>
      <c r="D74" s="1" t="s">
        <v>129</v>
      </c>
      <c r="E74" s="1" t="s">
        <v>130</v>
      </c>
      <c r="F74" s="1" t="s">
        <v>131</v>
      </c>
      <c r="G74" s="1" t="s">
        <v>8</v>
      </c>
    </row>
    <row r="75" spans="1:7" ht="15" customHeight="1" x14ac:dyDescent="0.3">
      <c r="A75" s="43" t="s">
        <v>9</v>
      </c>
      <c r="B75" s="21">
        <f>IF('CARPA 4'!C7="","",'CARPA 4'!C7)</f>
        <v>46265</v>
      </c>
      <c r="C75" s="44" t="s">
        <v>111</v>
      </c>
      <c r="D75" s="45">
        <f>IF('CARPA 4'!B14=0,"",'CARPA 4'!B13/'CARPA 4'!B14)</f>
        <v>1</v>
      </c>
      <c r="E75" s="4"/>
      <c r="F75" s="28" t="str">
        <f>IF(E75="","",E75/1000)</f>
        <v/>
      </c>
      <c r="G75" s="17"/>
    </row>
    <row r="76" spans="1:7" ht="15" customHeight="1" x14ac:dyDescent="0.3">
      <c r="A76" s="43" t="s">
        <v>31</v>
      </c>
      <c r="B76" s="21">
        <f>IF('CARPA 4'!C24="","",'CARPA 4'!C24)</f>
        <v>46357</v>
      </c>
      <c r="C76" s="44" t="s">
        <v>133</v>
      </c>
      <c r="D76" s="22"/>
      <c r="E76" s="4"/>
      <c r="F76" s="28" t="str">
        <f>IF(E76="","",E76/1000)</f>
        <v/>
      </c>
      <c r="G76" s="17"/>
    </row>
    <row r="77" spans="1:7" ht="15" customHeight="1" x14ac:dyDescent="0.3">
      <c r="A77" s="34"/>
      <c r="B77" s="34"/>
      <c r="C77" s="34"/>
      <c r="D77" s="34"/>
      <c r="E77" s="34"/>
      <c r="F77" s="34"/>
      <c r="G77" s="34"/>
    </row>
  </sheetData>
  <mergeCells count="12">
    <mergeCell ref="A73:G73"/>
    <mergeCell ref="A68:G68"/>
    <mergeCell ref="A63:G63"/>
    <mergeCell ref="A44:G44"/>
    <mergeCell ref="A19:G19"/>
    <mergeCell ref="A1:G1"/>
    <mergeCell ref="A11:G11"/>
    <mergeCell ref="A55:G55"/>
    <mergeCell ref="A4:G4"/>
    <mergeCell ref="A38:G38"/>
    <mergeCell ref="A2:G2"/>
    <mergeCell ref="A29:G29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4C69D"/>
  </sheetPr>
  <dimension ref="A1:I12"/>
  <sheetViews>
    <sheetView showGridLines="0" zoomScaleNormal="100" workbookViewId="0"/>
  </sheetViews>
  <sheetFormatPr baseColWidth="10" defaultColWidth="8.6640625" defaultRowHeight="14.4" x14ac:dyDescent="0.3"/>
  <cols>
    <col min="1" max="1" width="20" customWidth="1"/>
    <col min="2" max="2" width="4" customWidth="1"/>
    <col min="3" max="3" width="50" customWidth="1"/>
    <col min="4" max="4" width="20" customWidth="1"/>
  </cols>
  <sheetData>
    <row r="1" spans="1:9" ht="27.75" customHeight="1" x14ac:dyDescent="0.3">
      <c r="A1" s="73" t="s">
        <v>134</v>
      </c>
      <c r="B1" s="64"/>
      <c r="C1" s="64"/>
      <c r="D1" s="64"/>
    </row>
    <row r="3" spans="1:9" ht="14.25" customHeight="1" x14ac:dyDescent="0.3">
      <c r="A3" s="48" t="s">
        <v>135</v>
      </c>
      <c r="B3" s="49"/>
      <c r="C3" s="50" t="s">
        <v>136</v>
      </c>
    </row>
    <row r="4" spans="1:9" ht="14.25" customHeight="1" x14ac:dyDescent="0.3">
      <c r="A4" s="51" t="s">
        <v>137</v>
      </c>
      <c r="B4" s="52"/>
      <c r="C4" s="50" t="s">
        <v>138</v>
      </c>
    </row>
    <row r="5" spans="1:9" ht="14.25" customHeight="1" x14ac:dyDescent="0.3">
      <c r="A5" s="53" t="s">
        <v>139</v>
      </c>
      <c r="B5" s="54"/>
      <c r="C5" s="50" t="s">
        <v>140</v>
      </c>
    </row>
    <row r="6" spans="1:9" ht="14.25" customHeight="1" x14ac:dyDescent="0.3">
      <c r="A6" s="53" t="s">
        <v>141</v>
      </c>
      <c r="B6" s="54"/>
      <c r="C6" s="50" t="s">
        <v>142</v>
      </c>
    </row>
    <row r="8" spans="1:9" ht="15" customHeight="1" x14ac:dyDescent="0.3">
      <c r="A8" s="72" t="s">
        <v>143</v>
      </c>
      <c r="B8" s="64"/>
      <c r="C8" s="64"/>
      <c r="D8" s="64"/>
    </row>
    <row r="9" spans="1:9" ht="14.25" customHeight="1" x14ac:dyDescent="0.3">
      <c r="A9" s="55" t="s">
        <v>144</v>
      </c>
      <c r="B9" s="56" t="s">
        <v>145</v>
      </c>
      <c r="C9" s="56" t="s">
        <v>146</v>
      </c>
      <c r="D9" s="56" t="s">
        <v>147</v>
      </c>
      <c r="E9" s="56" t="s">
        <v>148</v>
      </c>
      <c r="F9" s="56" t="s">
        <v>149</v>
      </c>
      <c r="G9" s="56" t="s">
        <v>150</v>
      </c>
      <c r="H9" s="56" t="s">
        <v>151</v>
      </c>
      <c r="I9" s="56" t="s">
        <v>152</v>
      </c>
    </row>
    <row r="11" spans="1:9" ht="15" customHeight="1" x14ac:dyDescent="0.3">
      <c r="A11" s="72" t="s">
        <v>153</v>
      </c>
      <c r="B11" s="64"/>
      <c r="C11" s="64"/>
      <c r="D11" s="64"/>
    </row>
    <row r="12" spans="1:9" ht="14.25" customHeight="1" x14ac:dyDescent="0.3">
      <c r="A12" s="55" t="s">
        <v>154</v>
      </c>
      <c r="B12" s="56" t="s">
        <v>148</v>
      </c>
      <c r="C12" s="56" t="s">
        <v>149</v>
      </c>
      <c r="D12" s="56" t="s">
        <v>150</v>
      </c>
      <c r="E12" s="56" t="s">
        <v>151</v>
      </c>
      <c r="F12" s="56" t="s">
        <v>152</v>
      </c>
    </row>
  </sheetData>
  <mergeCells count="3">
    <mergeCell ref="A1:D1"/>
    <mergeCell ref="A8:D8"/>
    <mergeCell ref="A11:D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RESUMEN</vt:lpstr>
      <vt:lpstr>RAGNAR</vt:lpstr>
      <vt:lpstr>PROYECCIÓN</vt:lpstr>
      <vt:lpstr>SALA 1</vt:lpstr>
      <vt:lpstr>SALA 2</vt:lpstr>
      <vt:lpstr>SALA 3</vt:lpstr>
      <vt:lpstr>SALA 4</vt:lpstr>
      <vt:lpstr>SALA 5</vt:lpstr>
      <vt:lpstr>SALA 6</vt:lpstr>
      <vt:lpstr>CARPA 1</vt:lpstr>
      <vt:lpstr>CARPA 2</vt:lpstr>
      <vt:lpstr>CARPA 3</vt:lpstr>
      <vt:lpstr>CARPA 4</vt:lpstr>
      <vt:lpstr>PESOS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Darío Miquel Rutllant Gazmuri (dario.rutllant)</cp:lastModifiedBy>
  <cp:revision>0</cp:revision>
  <dcterms:created xsi:type="dcterms:W3CDTF">2026-06-10T17:59:45Z</dcterms:created>
  <dcterms:modified xsi:type="dcterms:W3CDTF">2026-06-12T00:14:40Z</dcterms:modified>
</cp:coreProperties>
</file>